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Fast Computer\Desktop\Claude\"/>
    </mc:Choice>
  </mc:AlternateContent>
  <xr:revisionPtr revIDLastSave="0" documentId="13_ncr:1_{20BF3906-92E7-4ED6-A4C7-8958E750A8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g-26" sheetId="1" r:id="rId1"/>
  </sheets>
  <definedNames>
    <definedName name="_xlnm.Print_Area" localSheetId="0">'Aug-26'!$A$1:$H$31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G6" i="1"/>
  <c r="G7" i="1" s="1"/>
  <c r="G8" i="1" s="1"/>
  <c r="G9" i="1" s="1"/>
  <c r="G10" i="1" s="1"/>
  <c r="G11" i="1" s="1"/>
  <c r="G12" i="1" s="1"/>
  <c r="G13" i="1" s="1"/>
  <c r="G14" i="1" s="1"/>
  <c r="G30" i="1" l="1"/>
  <c r="G34" i="1" s="1"/>
  <c r="G36" i="1" s="1"/>
</calcChain>
</file>

<file path=xl/sharedStrings.xml><?xml version="1.0" encoding="utf-8"?>
<sst xmlns="http://schemas.openxmlformats.org/spreadsheetml/2006/main" count="60" uniqueCount="46">
  <si>
    <t>Date</t>
  </si>
  <si>
    <t>Description</t>
  </si>
  <si>
    <t>A/c</t>
  </si>
  <si>
    <t>Dr</t>
  </si>
  <si>
    <t>Cr</t>
  </si>
  <si>
    <t>Balance</t>
  </si>
  <si>
    <t>Opening Balance</t>
  </si>
  <si>
    <t>-</t>
  </si>
  <si>
    <t>Coy Assets</t>
  </si>
  <si>
    <t>Travelling &amp; Conveyance</t>
  </si>
  <si>
    <t>Printing &amp; Stationary</t>
  </si>
  <si>
    <t>Director Expense</t>
  </si>
  <si>
    <t>Entertainment Expense</t>
  </si>
  <si>
    <t>Cleaning Expense</t>
  </si>
  <si>
    <t>Utility Expense</t>
  </si>
  <si>
    <t>Equity</t>
  </si>
  <si>
    <t>Account Receivable</t>
  </si>
  <si>
    <t>Miscellaneous Expense</t>
  </si>
  <si>
    <t>Legal &amp; Professional</t>
  </si>
  <si>
    <t>Rental Liabilty</t>
  </si>
  <si>
    <t>Payroll</t>
  </si>
  <si>
    <t>Repair &amp; Maintenance</t>
  </si>
  <si>
    <t>Labor Expense</t>
  </si>
  <si>
    <t>Equity Withdrawl</t>
  </si>
  <si>
    <t>Petty Cash</t>
  </si>
  <si>
    <t>Account Payable</t>
  </si>
  <si>
    <t>Paid to Furqan Ul Haq for Cash given to Waqas</t>
  </si>
  <si>
    <t>Kitchen Items (Sugar,Tea,Milk Carton)</t>
  </si>
  <si>
    <t>Office Item (Glass Mat,Glass Set)</t>
  </si>
  <si>
    <t>Milk Pack 1x</t>
  </si>
  <si>
    <t>Received Petty Cash from Mubashar Sb Online</t>
  </si>
  <si>
    <t>Received Petty Cash from Mubashar Sb Cash</t>
  </si>
  <si>
    <t>Paid to Furqan Ul Haq for Social Media Budget (GF+CHPT+MT)</t>
  </si>
  <si>
    <t>Markeeting Expense</t>
  </si>
  <si>
    <t>Cake Ordered for Office Indor Activity 14th August</t>
  </si>
  <si>
    <t>BM</t>
  </si>
  <si>
    <t>COY Petty Cash Expense Sheet</t>
  </si>
  <si>
    <t>Exp Of</t>
  </si>
  <si>
    <t>COY</t>
  </si>
  <si>
    <t>7-Orbit</t>
  </si>
  <si>
    <t>Reconcilation</t>
  </si>
  <si>
    <t>On A/c</t>
  </si>
  <si>
    <t>Cash</t>
  </si>
  <si>
    <t>In hand</t>
  </si>
  <si>
    <t>Diff</t>
  </si>
  <si>
    <t>Stationary Items for Office (Pen, Pencil, Raser &amp; Sharpner)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</si>
</sst>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2" fillId="0" borderId="2" xfId="0" applyFont="1" applyBorder="1"/>
    <xf numFmtId="164" fontId="1" fillId="0" borderId="2" xfId="1" applyNumberFormat="1" applyFont="1" applyBorder="1" applyAlignment="1">
      <alignment horizontal="center"/>
    </xf>
    <xf numFmtId="164" fontId="7" fillId="0" borderId="3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0" fontId="0" fillId="3" borderId="2" xfId="0" applyFill="1" applyBorder="1"/>
    <xf numFmtId="164" fontId="0" fillId="3" borderId="2" xfId="1" applyNumberFormat="1" applyFont="1" applyFill="1" applyBorder="1"/>
    <xf numFmtId="164" fontId="7" fillId="3" borderId="3" xfId="1" applyNumberFormat="1" applyFont="1" applyFill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164" fontId="1" fillId="3" borderId="2" xfId="1" applyNumberFormat="1" applyFont="1" applyFill="1" applyBorder="1"/>
    <xf numFmtId="0" fontId="2" fillId="3" borderId="2" xfId="0" applyFont="1" applyFill="1" applyBorder="1"/>
    <xf numFmtId="164" fontId="2" fillId="3" borderId="2" xfId="1" applyNumberFormat="1" applyFont="1" applyFill="1" applyBorder="1"/>
    <xf numFmtId="164" fontId="7" fillId="3" borderId="2" xfId="1" applyNumberFormat="1" applyFont="1" applyFill="1" applyBorder="1" applyAlignment="1">
      <alignment vertical="center"/>
    </xf>
    <xf numFmtId="165" fontId="0" fillId="3" borderId="2" xfId="0" applyNumberFormat="1" applyFill="1" applyBorder="1" applyAlignment="1">
      <alignment horizontal="center"/>
    </xf>
    <xf numFmtId="0" fontId="0" fillId="0" borderId="2" xfId="0" applyBorder="1"/>
    <xf numFmtId="164" fontId="1" fillId="0" borderId="2" xfId="1" applyNumberFormat="1" applyFont="1" applyBorder="1"/>
    <xf numFmtId="164" fontId="7" fillId="0" borderId="2" xfId="1" applyNumberFormat="1" applyFont="1" applyBorder="1" applyAlignment="1">
      <alignment vertical="center"/>
    </xf>
    <xf numFmtId="164" fontId="0" fillId="0" borderId="0" xfId="1" applyNumberFormat="1" applyFont="1"/>
    <xf numFmtId="164" fontId="7" fillId="0" borderId="0" xfId="1" applyNumberFormat="1" applyFont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6" fillId="2" borderId="4" xfId="1" applyNumberFormat="1" applyFont="1" applyFill="1" applyBorder="1" applyAlignment="1">
      <alignment vertical="center"/>
    </xf>
    <xf numFmtId="164" fontId="1" fillId="0" borderId="3" xfId="1" applyNumberFormat="1" applyFont="1" applyBorder="1" applyAlignment="1">
      <alignment horizontal="center"/>
    </xf>
    <xf numFmtId="164" fontId="2" fillId="3" borderId="3" xfId="1" applyNumberFormat="1" applyFont="1" applyFill="1" applyBorder="1"/>
    <xf numFmtId="164" fontId="1" fillId="3" borderId="3" xfId="1" applyNumberFormat="1" applyFont="1" applyFill="1" applyBorder="1"/>
    <xf numFmtId="164" fontId="0" fillId="3" borderId="3" xfId="1" applyNumberFormat="1" applyFont="1" applyFill="1" applyBorder="1"/>
    <xf numFmtId="164" fontId="0" fillId="0" borderId="0" xfId="0" applyNumberFormat="1"/>
    <xf numFmtId="0" fontId="2" fillId="4" borderId="0" xfId="0" applyFont="1" applyFill="1"/>
    <xf numFmtId="164" fontId="2" fillId="4" borderId="0" xfId="0" applyNumberFormat="1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90" zoomScaleNormal="100" zoomScalePageLayoutView="90" workbookViewId="0">
      <selection activeCell="E6" sqref="E6:F14"/>
    </sheetView>
  </sheetViews>
  <sheetFormatPr defaultRowHeight="15" x14ac:dyDescent="0.25"/>
  <cols>
    <col min="1" max="1" width="12" customWidth="1"/>
    <col min="2" max="2" width="65.85546875" customWidth="1"/>
    <col min="3" max="3" width="26.7109375" customWidth="1"/>
    <col min="4" max="4" width="15.140625" customWidth="1"/>
    <col min="5" max="7" width="17.28515625" customWidth="1"/>
    <col min="8" max="8" width="1.7109375" customWidth="1"/>
  </cols>
  <sheetData>
    <row r="1" spans="1:9" ht="35.25" x14ac:dyDescent="0.5">
      <c r="A1" s="33" t="s">
        <v>35</v>
      </c>
      <c r="B1" s="33"/>
      <c r="C1" s="33"/>
      <c r="D1" s="33"/>
      <c r="E1" s="33"/>
      <c r="F1" s="33"/>
      <c r="G1" s="33"/>
      <c r="H1" s="1"/>
      <c r="I1" s="1"/>
    </row>
    <row r="2" spans="1:9" ht="16.5" x14ac:dyDescent="0.3">
      <c r="A2" s="34" t="s">
        <v>36</v>
      </c>
      <c r="B2" s="34"/>
      <c r="C2" s="34"/>
      <c r="D2" s="34"/>
      <c r="E2" s="34"/>
      <c r="F2" s="34"/>
      <c r="G2" s="34"/>
      <c r="H2" s="1"/>
      <c r="I2" s="1"/>
    </row>
    <row r="3" spans="1:9" ht="9" customHeight="1" x14ac:dyDescent="0.3">
      <c r="A3" s="2"/>
      <c r="B3" s="2"/>
      <c r="C3" s="2"/>
      <c r="D3" s="2"/>
      <c r="E3" s="2"/>
      <c r="F3" s="2"/>
      <c r="G3" s="2"/>
      <c r="H3" s="1"/>
      <c r="I3" s="1"/>
    </row>
    <row r="4" spans="1:9" ht="17.25" thickBot="1" x14ac:dyDescent="0.35">
      <c r="A4" s="3" t="s">
        <v>0</v>
      </c>
      <c r="B4" s="3" t="s">
        <v>1</v>
      </c>
      <c r="C4" s="3" t="s">
        <v>2</v>
      </c>
      <c r="D4" s="3" t="s">
        <v>37</v>
      </c>
      <c r="E4" s="3" t="s">
        <v>3</v>
      </c>
      <c r="F4" s="4" t="s">
        <v>4</v>
      </c>
      <c r="G4" s="4" t="s">
        <v>5</v>
      </c>
      <c r="H4" s="1"/>
      <c r="I4" s="1"/>
    </row>
    <row r="5" spans="1:9" ht="15.75" x14ac:dyDescent="0.25">
      <c r="A5" s="5">
        <v>46235</v>
      </c>
      <c r="B5" s="6" t="s">
        <v>6</v>
      </c>
      <c r="C5" s="7" t="s">
        <v>7</v>
      </c>
      <c r="D5" s="26"/>
      <c r="E5" s="8">
        <v>0</v>
      </c>
      <c r="F5" s="8">
        <v>0</v>
      </c>
      <c r="G5" s="9">
        <v>0</v>
      </c>
    </row>
    <row r="6" spans="1:9" ht="15.75" x14ac:dyDescent="0.25">
      <c r="A6" s="5">
        <v>46244</v>
      </c>
      <c r="B6" s="15" t="s">
        <v>31</v>
      </c>
      <c r="C6" s="16" t="s">
        <v>24</v>
      </c>
      <c r="D6" s="27" t="s">
        <v>38</v>
      </c>
      <c r="E6" s="12">
        <v>0</v>
      </c>
      <c r="F6" s="12">
        <v>0</v>
      </c>
      <c r="G6" s="13">
        <f>G5-E6+F6</f>
        <v>0</v>
      </c>
      <c r="I6" t="s">
        <v>9</v>
      </c>
    </row>
    <row r="7" spans="1:9" ht="15.75" x14ac:dyDescent="0.25">
      <c r="A7" s="5">
        <v>46244</v>
      </c>
      <c r="B7" s="10" t="s">
        <v>29</v>
      </c>
      <c r="C7" s="14" t="s">
        <v>12</v>
      </c>
      <c r="D7" s="29" t="s">
        <v>38</v>
      </c>
      <c r="E7" s="12">
        <v>0</v>
      </c>
      <c r="F7" s="12">
        <v>0</v>
      </c>
      <c r="G7" s="13">
        <f t="shared" ref="G7:G14" si="0">G6-E7+F7</f>
        <v>0</v>
      </c>
      <c r="I7" t="s">
        <v>10</v>
      </c>
    </row>
    <row r="8" spans="1:9" ht="15.75" x14ac:dyDescent="0.25">
      <c r="A8" s="5">
        <v>46245</v>
      </c>
      <c r="B8" s="10" t="s">
        <v>26</v>
      </c>
      <c r="C8" s="11" t="s">
        <v>25</v>
      </c>
      <c r="D8" s="29" t="s">
        <v>38</v>
      </c>
      <c r="E8" s="12">
        <v>0</v>
      </c>
      <c r="F8" s="12">
        <v>0</v>
      </c>
      <c r="G8" s="13">
        <f t="shared" si="0"/>
        <v>0</v>
      </c>
      <c r="I8" t="s">
        <v>12</v>
      </c>
    </row>
    <row r="9" spans="1:9" ht="15.75" x14ac:dyDescent="0.25">
      <c r="A9" s="5">
        <v>46245</v>
      </c>
      <c r="B9" s="10" t="s">
        <v>27</v>
      </c>
      <c r="C9" s="14" t="s">
        <v>12</v>
      </c>
      <c r="D9" s="29" t="s">
        <v>38</v>
      </c>
      <c r="E9" s="12">
        <v>0</v>
      </c>
      <c r="F9" s="12">
        <v>0</v>
      </c>
      <c r="G9" s="13">
        <f t="shared" si="0"/>
        <v>0</v>
      </c>
      <c r="I9" t="s">
        <v>13</v>
      </c>
    </row>
    <row r="10" spans="1:9" ht="15.75" x14ac:dyDescent="0.25">
      <c r="A10" s="5">
        <v>46245</v>
      </c>
      <c r="B10" s="10" t="s">
        <v>28</v>
      </c>
      <c r="C10" s="11" t="s">
        <v>17</v>
      </c>
      <c r="D10" s="29" t="s">
        <v>38</v>
      </c>
      <c r="E10" s="12">
        <v>0</v>
      </c>
      <c r="F10" s="12">
        <v>0</v>
      </c>
      <c r="G10" s="13">
        <f t="shared" si="0"/>
        <v>0</v>
      </c>
      <c r="I10" t="s">
        <v>14</v>
      </c>
    </row>
    <row r="11" spans="1:9" ht="15.75" x14ac:dyDescent="0.25">
      <c r="A11" s="5">
        <v>46246</v>
      </c>
      <c r="B11" s="15" t="s">
        <v>30</v>
      </c>
      <c r="C11" s="16" t="s">
        <v>24</v>
      </c>
      <c r="D11" s="27" t="s">
        <v>38</v>
      </c>
      <c r="E11" s="12">
        <v>0</v>
      </c>
      <c r="F11" s="12">
        <v>0</v>
      </c>
      <c r="G11" s="13">
        <f t="shared" si="0"/>
        <v>0</v>
      </c>
      <c r="I11" t="s">
        <v>8</v>
      </c>
    </row>
    <row r="12" spans="1:9" ht="15.75" x14ac:dyDescent="0.25">
      <c r="A12" s="5">
        <v>46246</v>
      </c>
      <c r="B12" s="10" t="s">
        <v>32</v>
      </c>
      <c r="C12" s="11" t="s">
        <v>33</v>
      </c>
      <c r="D12" s="11" t="s">
        <v>39</v>
      </c>
      <c r="E12" s="12">
        <v>0</v>
      </c>
      <c r="F12" s="12">
        <v>0</v>
      </c>
      <c r="G12" s="13">
        <f t="shared" si="0"/>
        <v>0</v>
      </c>
      <c r="I12" t="s">
        <v>17</v>
      </c>
    </row>
    <row r="13" spans="1:9" ht="15.75" x14ac:dyDescent="0.25">
      <c r="A13" s="5">
        <v>46246</v>
      </c>
      <c r="B13" s="10" t="s">
        <v>34</v>
      </c>
      <c r="C13" s="11" t="s">
        <v>33</v>
      </c>
      <c r="D13" s="29" t="s">
        <v>38</v>
      </c>
      <c r="E13" s="12">
        <v>0</v>
      </c>
      <c r="F13" s="12">
        <v>0</v>
      </c>
      <c r="G13" s="13">
        <f t="shared" si="0"/>
        <v>0</v>
      </c>
      <c r="I13" t="s">
        <v>18</v>
      </c>
    </row>
    <row r="14" spans="1:9" ht="15.75" x14ac:dyDescent="0.25">
      <c r="A14" s="5">
        <v>46246</v>
      </c>
      <c r="B14" s="10" t="s">
        <v>45</v>
      </c>
      <c r="C14" s="11" t="s">
        <v>10</v>
      </c>
      <c r="D14" s="29" t="s">
        <v>38</v>
      </c>
      <c r="E14" s="12">
        <v>0</v>
      </c>
      <c r="F14" s="12">
        <v>0</v>
      </c>
      <c r="G14" s="13">
        <f t="shared" si="0"/>
        <v>0</v>
      </c>
      <c r="I14" t="s">
        <v>19</v>
      </c>
    </row>
    <row r="15" spans="1:9" ht="15.75" x14ac:dyDescent="0.25">
      <c r="A15" s="5"/>
      <c r="B15" s="10"/>
      <c r="C15" s="11"/>
      <c r="D15" s="29"/>
      <c r="E15" s="12"/>
      <c r="F15" s="12"/>
      <c r="G15" s="13"/>
      <c r="I15" t="s">
        <v>11</v>
      </c>
    </row>
    <row r="16" spans="1:9" ht="15.75" x14ac:dyDescent="0.25">
      <c r="A16" s="5"/>
      <c r="B16" s="10"/>
      <c r="C16" s="11"/>
      <c r="D16" s="29"/>
      <c r="E16" s="12"/>
      <c r="F16" s="12"/>
      <c r="G16" s="13"/>
      <c r="I16" t="s">
        <v>20</v>
      </c>
    </row>
    <row r="17" spans="1:9" ht="15.75" x14ac:dyDescent="0.25">
      <c r="A17" s="5"/>
      <c r="B17" s="10"/>
      <c r="C17" s="14"/>
      <c r="D17" s="28"/>
      <c r="E17" s="12"/>
      <c r="F17" s="12"/>
      <c r="G17" s="13"/>
      <c r="I17" t="s">
        <v>16</v>
      </c>
    </row>
    <row r="18" spans="1:9" ht="15.75" x14ac:dyDescent="0.25">
      <c r="A18" s="5"/>
      <c r="B18" s="10"/>
      <c r="C18" s="16"/>
      <c r="D18" s="27"/>
      <c r="E18" s="12"/>
      <c r="F18" s="12"/>
      <c r="G18" s="13"/>
      <c r="I18" t="s">
        <v>21</v>
      </c>
    </row>
    <row r="19" spans="1:9" ht="15.75" x14ac:dyDescent="0.25">
      <c r="A19" s="5"/>
      <c r="B19" s="10"/>
      <c r="C19" s="14"/>
      <c r="D19" s="28"/>
      <c r="E19" s="12"/>
      <c r="F19" s="12"/>
      <c r="G19" s="13"/>
      <c r="I19" t="s">
        <v>15</v>
      </c>
    </row>
    <row r="20" spans="1:9" ht="15.75" x14ac:dyDescent="0.25">
      <c r="A20" s="5"/>
      <c r="B20" s="10"/>
      <c r="C20" s="14"/>
      <c r="D20" s="28"/>
      <c r="E20" s="12"/>
      <c r="F20" s="12"/>
      <c r="G20" s="13"/>
      <c r="I20" t="s">
        <v>23</v>
      </c>
    </row>
    <row r="21" spans="1:9" ht="15.75" x14ac:dyDescent="0.25">
      <c r="A21" s="5"/>
      <c r="B21" s="10"/>
      <c r="C21" s="16"/>
      <c r="D21" s="27"/>
      <c r="E21" s="12"/>
      <c r="F21" s="12"/>
      <c r="G21" s="13"/>
      <c r="I21" t="s">
        <v>22</v>
      </c>
    </row>
    <row r="22" spans="1:9" ht="15.75" x14ac:dyDescent="0.25">
      <c r="A22" s="5"/>
      <c r="B22" s="10"/>
      <c r="C22" s="11"/>
      <c r="D22" s="29"/>
      <c r="E22" s="12"/>
      <c r="F22" s="12"/>
      <c r="G22" s="13"/>
      <c r="I22" t="s">
        <v>33</v>
      </c>
    </row>
    <row r="23" spans="1:9" ht="15.75" x14ac:dyDescent="0.25">
      <c r="A23" s="5"/>
      <c r="B23" s="10"/>
      <c r="C23" s="14"/>
      <c r="D23" s="28"/>
      <c r="E23" s="12"/>
      <c r="F23" s="12"/>
      <c r="G23" s="13"/>
    </row>
    <row r="24" spans="1:9" ht="15.75" x14ac:dyDescent="0.25">
      <c r="A24" s="5"/>
      <c r="B24" s="10"/>
      <c r="C24" s="16"/>
      <c r="D24" s="27"/>
      <c r="E24" s="12"/>
      <c r="F24" s="12"/>
      <c r="G24" s="13"/>
    </row>
    <row r="25" spans="1:9" ht="15.75" x14ac:dyDescent="0.25">
      <c r="A25" s="5"/>
      <c r="B25" s="10"/>
      <c r="C25" s="14"/>
      <c r="D25" s="28"/>
      <c r="E25" s="12"/>
      <c r="F25" s="12"/>
      <c r="G25" s="13"/>
    </row>
    <row r="26" spans="1:9" ht="15.75" x14ac:dyDescent="0.25">
      <c r="A26" s="18"/>
      <c r="B26" s="10"/>
      <c r="C26" s="14"/>
      <c r="D26" s="28"/>
      <c r="E26" s="12"/>
      <c r="F26" s="12"/>
      <c r="G26" s="13"/>
    </row>
    <row r="27" spans="1:9" ht="15.75" x14ac:dyDescent="0.25">
      <c r="A27" s="18"/>
      <c r="B27" s="10"/>
      <c r="C27" s="14"/>
      <c r="D27" s="14"/>
      <c r="E27" s="17"/>
      <c r="F27" s="12"/>
      <c r="G27" s="13"/>
    </row>
    <row r="28" spans="1:9" ht="15.75" x14ac:dyDescent="0.25">
      <c r="A28" s="5"/>
      <c r="B28" s="19"/>
      <c r="C28" s="20"/>
      <c r="D28" s="20"/>
      <c r="E28" s="21"/>
      <c r="F28" s="8"/>
      <c r="G28" s="13"/>
    </row>
    <row r="29" spans="1:9" ht="3" customHeight="1" x14ac:dyDescent="0.25">
      <c r="C29" s="22"/>
      <c r="D29" s="22"/>
      <c r="E29" s="23"/>
      <c r="F29" s="23"/>
    </row>
    <row r="30" spans="1:9" ht="16.5" thickBot="1" x14ac:dyDescent="0.3">
      <c r="C30" s="22"/>
      <c r="D30" s="22"/>
      <c r="E30" s="24">
        <f>SUM(E5:E29)</f>
        <v>0</v>
      </c>
      <c r="F30" s="24">
        <f>SUM(F5:F29)</f>
        <v>0</v>
      </c>
      <c r="G30" s="25">
        <f>G5-E30+F30</f>
        <v>0</v>
      </c>
    </row>
    <row r="31" spans="1:9" ht="15.75" thickTop="1" x14ac:dyDescent="0.25"/>
    <row r="32" spans="1:9" x14ac:dyDescent="0.25">
      <c r="E32" s="35" t="s">
        <v>40</v>
      </c>
      <c r="F32" s="35"/>
    </row>
    <row r="33" spans="5:7" x14ac:dyDescent="0.25">
      <c r="E33" t="s">
        <v>41</v>
      </c>
      <c r="G33" s="30">
        <v>25800</v>
      </c>
    </row>
    <row r="34" spans="5:7" x14ac:dyDescent="0.25">
      <c r="E34" t="s">
        <v>42</v>
      </c>
      <c r="G34" s="30">
        <f>G30-G33</f>
        <v>-25800</v>
      </c>
    </row>
    <row r="35" spans="5:7" x14ac:dyDescent="0.25">
      <c r="E35" t="s">
        <v>43</v>
      </c>
      <c r="G35" s="30">
        <v>4000</v>
      </c>
    </row>
    <row r="36" spans="5:7" x14ac:dyDescent="0.25">
      <c r="E36" s="31" t="s">
        <v>44</v>
      </c>
      <c r="F36" s="31"/>
      <c r="G36" s="32">
        <f>G34-G35</f>
        <v>-29800</v>
      </c>
    </row>
  </sheetData>
  <mergeCells count="3">
    <mergeCell ref="A1:G1"/>
    <mergeCell ref="A2:G2"/>
    <mergeCell ref="E32:F32"/>
  </mergeCells>
  <pageMargins left="0.40104166666666669" right="0.18460648148148148" top="0.22916666666666666" bottom="0.75" header="0.3" footer="0.3"/>
  <pageSetup paperSize="9" scale="55" orientation="portrait" horizontalDpi="1200" verticalDpi="1200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Aug-26</vt:lpstr>
      <vt:lpstr>'Aug-26'!Print_Area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Dept</dc:creator>
  <cp:lastModifiedBy>Fast Computer</cp:lastModifiedBy>
  <dcterms:created xsi:type="dcterms:W3CDTF">2026-08-11T04:45:04Z</dcterms:created>
  <dcterms:modified xsi:type="dcterms:W3CDTF">2026-08-17T08:48:34Z</dcterms:modified>
</cp:coreProperties>
</file>