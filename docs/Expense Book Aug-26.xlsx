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Fast Computer\Desktop\Claude\"/>
    </mc:Choice>
  </mc:AlternateContent>
  <xr:revisionPtr revIDLastSave="0" documentId="13_ncr:1_{657B693F-8AA0-4EC2-9A8E-51CD796D800B}" xr6:coauthVersionLast="47" xr6:coauthVersionMax="47" xr10:uidLastSave="{00000000-0000-0000-0000-000000000000}"/>
  <bookViews>
    <workbookView xWindow="-120" yWindow="-120" windowWidth="20730" windowHeight="11040" tabRatio="900" xr2:uid="{00000000-000D-0000-FFFF-FFFF00000000}"/>
  </bookViews>
  <sheets>
    <sheet name="Summary" sheetId="1" r:id="rId1"/>
    <sheet name="COY Expense" sheetId="9" r:id="rId2"/>
    <sheet name="BMC Director Expense" sheetId="2" r:id="rId3"/>
    <sheet name="BMC Bidding" sheetId="8" r:id="rId4"/>
    <sheet name="YMC Director Expense" sheetId="11" r:id="rId5"/>
    <sheet name="YMC Bidding" sheetId="12" r:id="rId6"/>
    <sheet name="C-21 DHA Margala" sheetId="14" r:id="rId7"/>
    <sheet name="C-21 (A) DHA Margala" sheetId="15" r:id="rId8"/>
    <sheet name="7-Orbit IT" sheetId="10" r:id="rId9"/>
    <sheet name="7-Orbit MB" sheetId="13" r:id="rId10"/>
  </sheets>
  <definedNames>
    <definedName name="_xlnm.Print_Area" localSheetId="7">'C-21 (A) DHA Margala'!$A$1:$G$30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5" l="1"/>
  <c r="D30" i="15"/>
  <c r="E12" i="1" s="1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30" i="15" l="1"/>
  <c r="E31" i="14" l="1"/>
  <c r="D31" i="14"/>
  <c r="F6" i="14"/>
  <c r="F7" i="14" s="1"/>
  <c r="F8" i="14" s="1"/>
  <c r="F9" i="14" s="1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E34" i="13"/>
  <c r="D34" i="13"/>
  <c r="F6" i="13"/>
  <c r="F7" i="13" s="1"/>
  <c r="F6" i="9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E11" i="1" l="1"/>
  <c r="E15" i="1"/>
  <c r="F31" i="14"/>
  <c r="F34" i="13"/>
  <c r="F6" i="12" l="1"/>
  <c r="F7" i="12" s="1"/>
  <c r="F8" i="12" s="1"/>
  <c r="F6" i="11"/>
  <c r="F7" i="11" s="1"/>
  <c r="F8" i="11" s="1"/>
  <c r="F6" i="10"/>
  <c r="F7" i="10" s="1"/>
  <c r="F6" i="8"/>
  <c r="F7" i="8" s="1"/>
  <c r="F8" i="8" s="1"/>
  <c r="F9" i="8" s="1"/>
  <c r="F6" i="2"/>
  <c r="F7" i="2" s="1"/>
  <c r="F8" i="2" s="1"/>
  <c r="E10" i="1"/>
  <c r="E9" i="1"/>
  <c r="D34" i="12"/>
  <c r="E34" i="12"/>
  <c r="D34" i="11"/>
  <c r="E34" i="11"/>
  <c r="F8" i="1" l="1"/>
  <c r="F34" i="12"/>
  <c r="F34" i="11"/>
  <c r="D34" i="10" l="1"/>
  <c r="E34" i="10"/>
  <c r="E64" i="9"/>
  <c r="D64" i="9"/>
  <c r="E34" i="8"/>
  <c r="D34" i="8"/>
  <c r="F4" i="1" l="1"/>
  <c r="E7" i="1"/>
  <c r="E14" i="1"/>
  <c r="F13" i="1" s="1"/>
  <c r="F64" i="9"/>
  <c r="F34" i="10"/>
  <c r="F34" i="8"/>
  <c r="E34" i="2"/>
  <c r="D34" i="2"/>
  <c r="E6" i="1" s="1"/>
  <c r="F5" i="1" l="1"/>
  <c r="F34" i="2"/>
</calcChain>
</file>

<file path=xl/sharedStrings.xml><?xml version="1.0" encoding="utf-8"?>
<sst xmlns="http://schemas.openxmlformats.org/spreadsheetml/2006/main" count="340" uniqueCount="141">
  <si>
    <t>A/c Head</t>
  </si>
  <si>
    <t>Balance</t>
  </si>
  <si>
    <t>Expense Book Summary</t>
  </si>
  <si>
    <t>BMC</t>
  </si>
  <si>
    <t>Date</t>
  </si>
  <si>
    <t>Description</t>
  </si>
  <si>
    <t>A/c</t>
  </si>
  <si>
    <t>Opening Balance</t>
  </si>
  <si>
    <t>-</t>
  </si>
  <si>
    <t>Director Expense Sheet</t>
  </si>
  <si>
    <t>Travelling &amp; Conveyance</t>
  </si>
  <si>
    <t>Mobile &amp; Telephone Expense</t>
  </si>
  <si>
    <t>Entertainment &amp; Hospitality</t>
  </si>
  <si>
    <t>Hotel &amp; Accommodation</t>
  </si>
  <si>
    <t>Utility Expenses</t>
  </si>
  <si>
    <t>Miscellaneous Reimbursements</t>
  </si>
  <si>
    <t>Vehicle Fuel &amp; Maintenance</t>
  </si>
  <si>
    <t>Salary / Remuneration</t>
  </si>
  <si>
    <t>Bidding Expense Sheet</t>
  </si>
  <si>
    <t>Tender Fee</t>
  </si>
  <si>
    <t>Tender Documentation Expense</t>
  </si>
  <si>
    <t>Bid Preparation Expense</t>
  </si>
  <si>
    <t>Site Visit Expense</t>
  </si>
  <si>
    <t>Courier &amp; Dispatch Charges</t>
  </si>
  <si>
    <t>Bank Charges – Bid Bond</t>
  </si>
  <si>
    <t>Printing &amp; Stationery – Tender</t>
  </si>
  <si>
    <t>E-Procurement Registration Fee</t>
  </si>
  <si>
    <t>Consultancy Charges – Bidding</t>
  </si>
  <si>
    <t>Miscellaneous Bidding Expenses</t>
  </si>
  <si>
    <t>Travel &amp; Conveyance</t>
  </si>
  <si>
    <t>Accommodation</t>
  </si>
  <si>
    <t>COY Expense Sheet</t>
  </si>
  <si>
    <t>Payroll</t>
  </si>
  <si>
    <t>Miscellaneous Expense</t>
  </si>
  <si>
    <t>Entertainment Expense</t>
  </si>
  <si>
    <t>Cleaning Expense</t>
  </si>
  <si>
    <t>Utility Expense</t>
  </si>
  <si>
    <t>Printing &amp; Stationary</t>
  </si>
  <si>
    <t>Rental Liabilty</t>
  </si>
  <si>
    <t>Recruitment Advertising Expenses</t>
  </si>
  <si>
    <t>Project Marketing Expenses</t>
  </si>
  <si>
    <t>Corporate Branding Expenses</t>
  </si>
  <si>
    <t>YMC</t>
  </si>
  <si>
    <t>COY Expense</t>
  </si>
  <si>
    <t>BMC Director Expense</t>
  </si>
  <si>
    <t>BMC Bidding</t>
  </si>
  <si>
    <t>YMC Director Expense</t>
  </si>
  <si>
    <t>YMC Bidding</t>
  </si>
  <si>
    <t>Account Receivable</t>
  </si>
  <si>
    <t>Repair &amp; Maintenance</t>
  </si>
  <si>
    <t>Dr</t>
  </si>
  <si>
    <t>Cr</t>
  </si>
  <si>
    <t>Equity</t>
  </si>
  <si>
    <t>Equity Withdrawl</t>
  </si>
  <si>
    <t>Coy Assets</t>
  </si>
  <si>
    <t>Domain Expense</t>
  </si>
  <si>
    <t>7-Orbit IT</t>
  </si>
  <si>
    <t>7-Orbit MB</t>
  </si>
  <si>
    <t>7-Orbit IT Expense Sheet</t>
  </si>
  <si>
    <t>7-Orbit MB Expense Sheet</t>
  </si>
  <si>
    <t>Legal &amp; Professional</t>
  </si>
  <si>
    <t>7-Orbit</t>
  </si>
  <si>
    <t>YM CONSTRUCTION</t>
  </si>
  <si>
    <t>BM CONSTRUCTION PVT LTD</t>
  </si>
  <si>
    <t>Project Expenses</t>
  </si>
  <si>
    <t>Cement</t>
  </si>
  <si>
    <t>Steel</t>
  </si>
  <si>
    <t>Sand</t>
  </si>
  <si>
    <t>Crush</t>
  </si>
  <si>
    <t>Bricks</t>
  </si>
  <si>
    <t>Electrical</t>
  </si>
  <si>
    <t>Plumbing</t>
  </si>
  <si>
    <t>Paint</t>
  </si>
  <si>
    <t>Tiles</t>
  </si>
  <si>
    <t>Labor</t>
  </si>
  <si>
    <t>Excavation</t>
  </si>
  <si>
    <t>Concrete Pump</t>
  </si>
  <si>
    <t>Shuttering</t>
  </si>
  <si>
    <t>Equipment Rental</t>
  </si>
  <si>
    <t>Safety Equipment</t>
  </si>
  <si>
    <t>Site Office</t>
  </si>
  <si>
    <t>Site Utilities</t>
  </si>
  <si>
    <t>Site Security</t>
  </si>
  <si>
    <t>Site Transportation</t>
  </si>
  <si>
    <t>Misc</t>
  </si>
  <si>
    <t>Legal Expense</t>
  </si>
  <si>
    <t>Project: C-21, DHA Margala Enclave, Islamabad</t>
  </si>
  <si>
    <t>C-21, DHA Margala Enclave</t>
  </si>
  <si>
    <t>Director Expense</t>
  </si>
  <si>
    <t>Expense</t>
  </si>
  <si>
    <t>Sr No</t>
  </si>
  <si>
    <t>i</t>
  </si>
  <si>
    <t>ii</t>
  </si>
  <si>
    <t>iii</t>
  </si>
  <si>
    <t>Computer Accessories</t>
  </si>
  <si>
    <t>Staff Salary</t>
  </si>
  <si>
    <t>Staff Advance</t>
  </si>
  <si>
    <t>Computer Accessories (Headphone)</t>
  </si>
  <si>
    <t>Wood Material for Office Workstation</t>
  </si>
  <si>
    <t>Attendance Machine for Office</t>
  </si>
  <si>
    <t>Car Fuel Expense</t>
  </si>
  <si>
    <t>Paid for Attendance, Wood &amp; Other Exp by Awais Sb</t>
  </si>
  <si>
    <t>Advance from Salary to Furqan m/o Aug-26</t>
  </si>
  <si>
    <t>Paid for Adv Salary Furqan by Awais Sb</t>
  </si>
  <si>
    <t>Bike Fuel for Project Exp</t>
  </si>
  <si>
    <t>Table for Site</t>
  </si>
  <si>
    <t>Powerbank for Guard</t>
  </si>
  <si>
    <t>Advance Salary to Guard m/o Aug-26</t>
  </si>
  <si>
    <t>Bike Fuel to Waqas</t>
  </si>
  <si>
    <t>Paid for Project Expense by Awais Sb</t>
  </si>
  <si>
    <t>Meta Add Charges</t>
  </si>
  <si>
    <t>Business Operationl Expense</t>
  </si>
  <si>
    <t>Capcut Subscription for Company</t>
  </si>
  <si>
    <t>iv</t>
  </si>
  <si>
    <t>C-21 (A), DHA Margala Enclave</t>
  </si>
  <si>
    <t>Project: C-21 (A), DHA Margala Enclave, Islamabad</t>
  </si>
  <si>
    <t>Finance:_____________________</t>
  </si>
  <si>
    <t>Director:___________________</t>
  </si>
  <si>
    <t>Drawing Coppies of Architecture &amp; Structure A3</t>
  </si>
  <si>
    <t>Site Office Container Balance Paid</t>
  </si>
  <si>
    <t>Craine Rent for Shifting of 2nd Office Container</t>
  </si>
  <si>
    <t>Site Misc Expense</t>
  </si>
  <si>
    <t>Advance against Salary to Waqas Aug-26</t>
  </si>
  <si>
    <t>Safety Jackets for Site Staff</t>
  </si>
  <si>
    <t>Paid for Petty Cash to Accounts by mubashar Sb</t>
  </si>
  <si>
    <t>Wood Material for Office Wardrobe</t>
  </si>
  <si>
    <t>TADA Balnce Payable Clear for Raja Abdullah m/o Jul-26</t>
  </si>
  <si>
    <t xml:space="preserve">Paint Material for Office </t>
  </si>
  <si>
    <t>Labor Expense</t>
  </si>
  <si>
    <t>Carpainter Labor for Office Workstation, Wardrobe &amp; Partition</t>
  </si>
  <si>
    <t>Misc Expense by Awais Sb</t>
  </si>
  <si>
    <t>Advance from Salary to Raja Abdullah m/o Aug-26</t>
  </si>
  <si>
    <t>Office Stationary</t>
  </si>
  <si>
    <t>Petty Cash</t>
  </si>
  <si>
    <t>Petty Cash Received for Operational Expense</t>
  </si>
  <si>
    <t>Advance from Salary to Aitzaz Ahsan m/o Aug-26</t>
  </si>
  <si>
    <t>Bottles Balnce Payable Clear for Aitzaz Ahsan m/o Jul-26</t>
  </si>
  <si>
    <t>Bike Fuel to Furqan</t>
  </si>
  <si>
    <t>Advance for Company Sign Boards</t>
  </si>
  <si>
    <t>Site Office Penaflex Advance</t>
  </si>
  <si>
    <t>Site Excavation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</si>
</sst>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8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0" fontId="2" fillId="0" borderId="3" xfId="0" applyFont="1" applyBorder="1"/>
    <xf numFmtId="164" fontId="1" fillId="0" borderId="3" xfId="1" applyNumberFormat="1" applyFont="1" applyBorder="1" applyAlignment="1">
      <alignment horizontal="center"/>
    </xf>
    <xf numFmtId="164" fontId="8" fillId="0" borderId="2" xfId="1" applyNumberFormat="1" applyFont="1" applyBorder="1" applyAlignment="1">
      <alignment vertical="center"/>
    </xf>
    <xf numFmtId="164" fontId="7" fillId="0" borderId="2" xfId="1" applyNumberFormat="1" applyFont="1" applyBorder="1" applyAlignment="1">
      <alignment vertical="center"/>
    </xf>
    <xf numFmtId="165" fontId="0" fillId="3" borderId="3" xfId="0" applyNumberFormat="1" applyFill="1" applyBorder="1" applyAlignment="1">
      <alignment horizontal="center"/>
    </xf>
    <xf numFmtId="0" fontId="2" fillId="3" borderId="3" xfId="0" applyFont="1" applyFill="1" applyBorder="1"/>
    <xf numFmtId="164" fontId="2" fillId="3" borderId="3" xfId="1" applyNumberFormat="1" applyFont="1" applyFill="1" applyBorder="1"/>
    <xf numFmtId="164" fontId="8" fillId="3" borderId="2" xfId="1" applyNumberFormat="1" applyFont="1" applyFill="1" applyBorder="1" applyAlignment="1">
      <alignment vertical="center"/>
    </xf>
    <xf numFmtId="164" fontId="8" fillId="0" borderId="3" xfId="1" applyNumberFormat="1" applyFont="1" applyBorder="1" applyAlignment="1">
      <alignment vertical="center"/>
    </xf>
    <xf numFmtId="0" fontId="0" fillId="3" borderId="3" xfId="0" applyFill="1" applyBorder="1"/>
    <xf numFmtId="164" fontId="1" fillId="3" borderId="3" xfId="1" applyNumberFormat="1" applyFont="1" applyFill="1" applyBorder="1"/>
    <xf numFmtId="164" fontId="8" fillId="3" borderId="3" xfId="1" applyNumberFormat="1" applyFont="1" applyFill="1" applyBorder="1" applyAlignment="1">
      <alignment vertical="center"/>
    </xf>
    <xf numFmtId="0" fontId="0" fillId="0" borderId="3" xfId="0" applyBorder="1"/>
    <xf numFmtId="164" fontId="1" fillId="0" borderId="3" xfId="1" applyNumberFormat="1" applyFont="1" applyBorder="1"/>
    <xf numFmtId="164" fontId="0" fillId="0" borderId="0" xfId="1" applyNumberFormat="1" applyFont="1"/>
    <xf numFmtId="164" fontId="8" fillId="0" borderId="0" xfId="1" applyNumberFormat="1" applyFont="1" applyAlignment="1">
      <alignment vertical="center"/>
    </xf>
    <xf numFmtId="164" fontId="7" fillId="0" borderId="4" xfId="1" applyNumberFormat="1" applyFont="1" applyBorder="1" applyAlignment="1">
      <alignment vertical="center"/>
    </xf>
    <xf numFmtId="164" fontId="7" fillId="2" borderId="4" xfId="1" applyNumberFormat="1" applyFont="1" applyFill="1" applyBorder="1" applyAlignment="1">
      <alignment vertical="center"/>
    </xf>
    <xf numFmtId="164" fontId="7" fillId="0" borderId="3" xfId="1" applyNumberFormat="1" applyFont="1" applyBorder="1" applyAlignment="1">
      <alignment vertical="center"/>
    </xf>
    <xf numFmtId="164" fontId="2" fillId="0" borderId="0" xfId="1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10" fillId="2" borderId="0" xfId="0" applyFont="1" applyFill="1" applyAlignment="1">
      <alignment horizontal="center"/>
    </xf>
    <xf numFmtId="164" fontId="10" fillId="2" borderId="0" xfId="1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0" xfId="0" applyFont="1" applyFill="1"/>
    <xf numFmtId="164" fontId="10" fillId="4" borderId="0" xfId="1" applyNumberFormat="1" applyFont="1" applyFill="1"/>
    <xf numFmtId="0" fontId="10" fillId="4" borderId="0" xfId="0" applyFont="1" applyFill="1"/>
    <xf numFmtId="164" fontId="0" fillId="3" borderId="3" xfId="1" applyNumberFormat="1" applyFont="1" applyFill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"/>
  <sheetViews>
    <sheetView tabSelected="1" workbookViewId="0">
      <selection activeCell="E13" sqref="E13"/>
    </sheetView>
  </sheetViews>
  <sheetFormatPr defaultRowHeight="15" x14ac:dyDescent="0.25"/>
  <cols>
    <col min="2" max="2" width="7" style="27" customWidth="1"/>
    <col min="3" max="3" width="4.140625" customWidth="1"/>
    <col min="4" max="4" width="43.7109375" customWidth="1"/>
    <col min="5" max="6" width="16.42578125" style="25" customWidth="1"/>
  </cols>
  <sheetData>
    <row r="1" spans="2:6" ht="23.25" x14ac:dyDescent="0.35">
      <c r="B1" s="35" t="s">
        <v>3</v>
      </c>
      <c r="C1" s="35"/>
      <c r="D1" s="35"/>
      <c r="E1" s="35"/>
      <c r="F1" s="26"/>
    </row>
    <row r="2" spans="2:6" ht="27.75" customHeight="1" x14ac:dyDescent="0.25">
      <c r="B2" s="36" t="s">
        <v>2</v>
      </c>
      <c r="C2" s="36"/>
      <c r="D2" s="36"/>
      <c r="E2" s="36"/>
      <c r="F2" s="26"/>
    </row>
    <row r="3" spans="2:6" ht="15.75" x14ac:dyDescent="0.25">
      <c r="B3" s="28" t="s">
        <v>90</v>
      </c>
      <c r="C3" s="28"/>
      <c r="D3" s="28" t="s">
        <v>0</v>
      </c>
      <c r="E3" s="29" t="s">
        <v>89</v>
      </c>
      <c r="F3" s="29" t="s">
        <v>89</v>
      </c>
    </row>
    <row r="4" spans="2:6" ht="15.75" x14ac:dyDescent="0.25">
      <c r="B4" s="30">
        <v>1</v>
      </c>
      <c r="C4" s="31" t="s">
        <v>43</v>
      </c>
      <c r="D4" s="31"/>
      <c r="E4" s="32"/>
      <c r="F4" s="32">
        <f>'COY Expense'!D64</f>
        <v>0</v>
      </c>
    </row>
    <row r="5" spans="2:6" ht="15.75" x14ac:dyDescent="0.25">
      <c r="B5" s="30">
        <v>2</v>
      </c>
      <c r="C5" s="33" t="s">
        <v>63</v>
      </c>
      <c r="D5" s="31"/>
      <c r="E5" s="32"/>
      <c r="F5" s="32">
        <f>SUM(E6:E7)</f>
        <v>0</v>
      </c>
    </row>
    <row r="6" spans="2:6" x14ac:dyDescent="0.25">
      <c r="C6" s="27" t="s">
        <v>91</v>
      </c>
      <c r="D6" t="s">
        <v>44</v>
      </c>
      <c r="E6" s="25">
        <f>'BMC Director Expense'!D34</f>
        <v>0</v>
      </c>
    </row>
    <row r="7" spans="2:6" x14ac:dyDescent="0.25">
      <c r="C7" s="27" t="s">
        <v>92</v>
      </c>
      <c r="D7" t="s">
        <v>45</v>
      </c>
      <c r="E7" s="25">
        <f>'BMC Bidding'!D34</f>
        <v>0</v>
      </c>
    </row>
    <row r="8" spans="2:6" ht="15.75" x14ac:dyDescent="0.25">
      <c r="B8" s="30">
        <v>3</v>
      </c>
      <c r="C8" s="33" t="s">
        <v>62</v>
      </c>
      <c r="D8" s="31"/>
      <c r="E8" s="32"/>
      <c r="F8" s="32">
        <f>SUM(E9:E11)</f>
        <v>0</v>
      </c>
    </row>
    <row r="9" spans="2:6" x14ac:dyDescent="0.25">
      <c r="C9" s="27" t="s">
        <v>91</v>
      </c>
      <c r="D9" t="s">
        <v>46</v>
      </c>
      <c r="E9" s="25">
        <f>'YMC Director Expense'!D34</f>
        <v>0</v>
      </c>
    </row>
    <row r="10" spans="2:6" x14ac:dyDescent="0.25">
      <c r="C10" s="27" t="s">
        <v>92</v>
      </c>
      <c r="D10" t="s">
        <v>47</v>
      </c>
      <c r="E10" s="25">
        <f>'YMC Bidding'!D34</f>
        <v>0</v>
      </c>
    </row>
    <row r="11" spans="2:6" x14ac:dyDescent="0.25">
      <c r="C11" s="27" t="s">
        <v>93</v>
      </c>
      <c r="D11" t="s">
        <v>87</v>
      </c>
      <c r="E11" s="25">
        <f>'C-21 DHA Margala'!D31</f>
        <v>0</v>
      </c>
    </row>
    <row r="12" spans="2:6" x14ac:dyDescent="0.25">
      <c r="C12" s="27" t="s">
        <v>113</v>
      </c>
      <c r="D12" t="s">
        <v>114</v>
      </c>
      <c r="E12" s="25">
        <f>'C-21 (A) DHA Margala'!D30</f>
        <v>2730</v>
      </c>
    </row>
    <row r="13" spans="2:6" ht="15.75" x14ac:dyDescent="0.25">
      <c r="B13" s="30">
        <v>4</v>
      </c>
      <c r="C13" s="33" t="s">
        <v>61</v>
      </c>
      <c r="D13" s="31"/>
      <c r="E13" s="32"/>
      <c r="F13" s="32">
        <f>SUM(E14:E15)</f>
        <v>0</v>
      </c>
    </row>
    <row r="14" spans="2:6" x14ac:dyDescent="0.25">
      <c r="C14" s="27" t="s">
        <v>91</v>
      </c>
      <c r="D14" t="s">
        <v>56</v>
      </c>
      <c r="E14" s="25">
        <f>'7-Orbit IT'!D34</f>
        <v>0</v>
      </c>
    </row>
    <row r="15" spans="2:6" x14ac:dyDescent="0.25">
      <c r="C15" s="27" t="s">
        <v>92</v>
      </c>
      <c r="D15" t="s">
        <v>57</v>
      </c>
      <c r="E15" s="25">
        <f>'7-Orbit MB'!D34</f>
        <v>0</v>
      </c>
    </row>
  </sheetData>
  <mergeCells count="2">
    <mergeCell ref="B1:E1"/>
    <mergeCell ref="B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topLeftCell="A50" workbookViewId="0">
      <selection activeCell="D6" sqref="D6:E31"/>
    </sheetView>
  </sheetViews>
  <sheetFormatPr defaultRowHeight="15" x14ac:dyDescent="0.25"/>
  <cols>
    <col min="1" max="1" width="9.85546875" customWidth="1"/>
    <col min="2" max="2" width="54.85546875" bestFit="1" customWidth="1"/>
    <col min="3" max="3" width="24.5703125" bestFit="1" customWidth="1"/>
    <col min="4" max="6" width="17.28515625" customWidth="1"/>
    <col min="7" max="7" width="1.7109375" customWidth="1"/>
  </cols>
  <sheetData>
    <row r="1" spans="1:8" ht="35.25" x14ac:dyDescent="0.5">
      <c r="A1" s="37" t="s">
        <v>3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31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46235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</row>
    <row r="6" spans="1:8" ht="15.75" x14ac:dyDescent="0.25">
      <c r="A6" s="5">
        <v>46235</v>
      </c>
      <c r="B6" s="15" t="s">
        <v>94</v>
      </c>
      <c r="C6" s="34" t="s">
        <v>54</v>
      </c>
      <c r="D6" s="13">
        <v>0</v>
      </c>
      <c r="E6" s="13">
        <v>0</v>
      </c>
      <c r="F6" s="24">
        <f>F5-D6+E6</f>
        <v>0</v>
      </c>
      <c r="H6" t="s">
        <v>10</v>
      </c>
    </row>
    <row r="7" spans="1:8" ht="15.75" x14ac:dyDescent="0.25">
      <c r="A7" s="5">
        <v>46235</v>
      </c>
      <c r="B7" s="15" t="s">
        <v>99</v>
      </c>
      <c r="C7" s="16" t="s">
        <v>54</v>
      </c>
      <c r="D7" s="13">
        <v>0</v>
      </c>
      <c r="E7" s="13">
        <v>0</v>
      </c>
      <c r="F7" s="24">
        <f t="shared" ref="F7:F31" si="0">F6-D7+E7</f>
        <v>0</v>
      </c>
      <c r="H7" t="s">
        <v>37</v>
      </c>
    </row>
    <row r="8" spans="1:8" ht="15.75" x14ac:dyDescent="0.25">
      <c r="A8" s="5">
        <v>46237</v>
      </c>
      <c r="B8" s="15" t="s">
        <v>100</v>
      </c>
      <c r="C8" s="16" t="s">
        <v>88</v>
      </c>
      <c r="D8" s="13">
        <v>0</v>
      </c>
      <c r="E8" s="13">
        <v>0</v>
      </c>
      <c r="F8" s="24">
        <f t="shared" si="0"/>
        <v>0</v>
      </c>
      <c r="H8" t="s">
        <v>34</v>
      </c>
    </row>
    <row r="9" spans="1:8" ht="15.75" x14ac:dyDescent="0.25">
      <c r="A9" s="5">
        <v>46237</v>
      </c>
      <c r="B9" s="15" t="s">
        <v>97</v>
      </c>
      <c r="C9" s="16" t="s">
        <v>54</v>
      </c>
      <c r="D9" s="13">
        <v>0</v>
      </c>
      <c r="E9" s="13">
        <v>0</v>
      </c>
      <c r="F9" s="24">
        <f t="shared" si="0"/>
        <v>0</v>
      </c>
      <c r="H9" t="s">
        <v>35</v>
      </c>
    </row>
    <row r="10" spans="1:8" ht="15.75" x14ac:dyDescent="0.25">
      <c r="A10" s="5">
        <v>46237</v>
      </c>
      <c r="B10" s="15" t="s">
        <v>98</v>
      </c>
      <c r="C10" s="34" t="s">
        <v>54</v>
      </c>
      <c r="D10" s="13">
        <v>0</v>
      </c>
      <c r="E10" s="13">
        <v>0</v>
      </c>
      <c r="F10" s="24">
        <f t="shared" si="0"/>
        <v>0</v>
      </c>
      <c r="H10" t="s">
        <v>36</v>
      </c>
    </row>
    <row r="11" spans="1:8" ht="15.75" x14ac:dyDescent="0.25">
      <c r="A11" s="5">
        <v>46237</v>
      </c>
      <c r="B11" s="11" t="s">
        <v>101</v>
      </c>
      <c r="C11" s="12" t="s">
        <v>52</v>
      </c>
      <c r="D11" s="13">
        <v>0</v>
      </c>
      <c r="E11" s="13">
        <v>0</v>
      </c>
      <c r="F11" s="24">
        <f t="shared" si="0"/>
        <v>0</v>
      </c>
      <c r="H11" t="s">
        <v>54</v>
      </c>
    </row>
    <row r="12" spans="1:8" ht="15.75" x14ac:dyDescent="0.25">
      <c r="A12" s="5">
        <v>46238</v>
      </c>
      <c r="B12" s="15" t="s">
        <v>102</v>
      </c>
      <c r="C12" s="34" t="s">
        <v>48</v>
      </c>
      <c r="D12" s="13">
        <v>0</v>
      </c>
      <c r="E12" s="13">
        <v>0</v>
      </c>
      <c r="F12" s="24">
        <f t="shared" si="0"/>
        <v>0</v>
      </c>
      <c r="H12" t="s">
        <v>33</v>
      </c>
    </row>
    <row r="13" spans="1:8" ht="15.75" x14ac:dyDescent="0.25">
      <c r="A13" s="5">
        <v>46238</v>
      </c>
      <c r="B13" s="11" t="s">
        <v>103</v>
      </c>
      <c r="C13" s="12" t="s">
        <v>52</v>
      </c>
      <c r="D13" s="13">
        <v>0</v>
      </c>
      <c r="E13" s="13">
        <v>0</v>
      </c>
      <c r="F13" s="24">
        <f t="shared" si="0"/>
        <v>0</v>
      </c>
      <c r="H13" t="s">
        <v>60</v>
      </c>
    </row>
    <row r="14" spans="1:8" ht="15.75" x14ac:dyDescent="0.25">
      <c r="A14" s="5">
        <v>46239</v>
      </c>
      <c r="B14" s="15" t="s">
        <v>94</v>
      </c>
      <c r="C14" s="34" t="s">
        <v>54</v>
      </c>
      <c r="D14" s="13">
        <v>0</v>
      </c>
      <c r="E14" s="13">
        <v>0</v>
      </c>
      <c r="F14" s="24">
        <f t="shared" si="0"/>
        <v>0</v>
      </c>
      <c r="H14" t="s">
        <v>38</v>
      </c>
    </row>
    <row r="15" spans="1:8" ht="15.75" x14ac:dyDescent="0.25">
      <c r="A15" s="5">
        <v>46239</v>
      </c>
      <c r="B15" s="15" t="s">
        <v>125</v>
      </c>
      <c r="C15" s="34" t="s">
        <v>54</v>
      </c>
      <c r="D15" s="13">
        <v>0</v>
      </c>
      <c r="E15" s="13">
        <v>0</v>
      </c>
      <c r="F15" s="24">
        <f t="shared" si="0"/>
        <v>0</v>
      </c>
      <c r="H15" t="s">
        <v>88</v>
      </c>
    </row>
    <row r="16" spans="1:8" ht="15.75" x14ac:dyDescent="0.25">
      <c r="A16" s="5">
        <v>46239</v>
      </c>
      <c r="B16" s="15" t="s">
        <v>126</v>
      </c>
      <c r="C16" s="34" t="s">
        <v>32</v>
      </c>
      <c r="D16" s="13">
        <v>0</v>
      </c>
      <c r="E16" s="13">
        <v>0</v>
      </c>
      <c r="F16" s="24">
        <f t="shared" si="0"/>
        <v>0</v>
      </c>
      <c r="H16" t="s">
        <v>32</v>
      </c>
    </row>
    <row r="17" spans="1:8" ht="15.75" x14ac:dyDescent="0.25">
      <c r="A17" s="5">
        <v>46239</v>
      </c>
      <c r="B17" s="15" t="s">
        <v>127</v>
      </c>
      <c r="C17" s="16" t="s">
        <v>49</v>
      </c>
      <c r="D17" s="13">
        <v>0</v>
      </c>
      <c r="E17" s="13">
        <v>0</v>
      </c>
      <c r="F17" s="24">
        <f t="shared" si="0"/>
        <v>0</v>
      </c>
      <c r="H17" t="s">
        <v>48</v>
      </c>
    </row>
    <row r="18" spans="1:8" ht="15.75" x14ac:dyDescent="0.25">
      <c r="A18" s="5">
        <v>46239</v>
      </c>
      <c r="B18" s="11" t="s">
        <v>103</v>
      </c>
      <c r="C18" s="12" t="s">
        <v>52</v>
      </c>
      <c r="D18" s="13">
        <v>0</v>
      </c>
      <c r="E18" s="13">
        <v>0</v>
      </c>
      <c r="F18" s="24">
        <f t="shared" si="0"/>
        <v>0</v>
      </c>
      <c r="H18" t="s">
        <v>49</v>
      </c>
    </row>
    <row r="19" spans="1:8" ht="15.75" x14ac:dyDescent="0.25">
      <c r="A19" s="5">
        <v>46240</v>
      </c>
      <c r="B19" s="15" t="s">
        <v>129</v>
      </c>
      <c r="C19" s="16" t="s">
        <v>128</v>
      </c>
      <c r="D19" s="13">
        <v>0</v>
      </c>
      <c r="E19" s="13">
        <v>0</v>
      </c>
      <c r="F19" s="24">
        <f t="shared" si="0"/>
        <v>0</v>
      </c>
      <c r="H19" t="s">
        <v>52</v>
      </c>
    </row>
    <row r="20" spans="1:8" ht="15.75" x14ac:dyDescent="0.25">
      <c r="A20" s="5">
        <v>46240</v>
      </c>
      <c r="B20" s="15" t="s">
        <v>130</v>
      </c>
      <c r="C20" s="16" t="s">
        <v>33</v>
      </c>
      <c r="D20" s="13">
        <v>0</v>
      </c>
      <c r="E20" s="13">
        <v>0</v>
      </c>
      <c r="F20" s="24">
        <f t="shared" si="0"/>
        <v>0</v>
      </c>
      <c r="H20" t="s">
        <v>53</v>
      </c>
    </row>
    <row r="21" spans="1:8" ht="15.75" x14ac:dyDescent="0.25">
      <c r="A21" s="5">
        <v>46240</v>
      </c>
      <c r="B21" s="11" t="s">
        <v>103</v>
      </c>
      <c r="C21" s="12" t="s">
        <v>52</v>
      </c>
      <c r="D21" s="13">
        <v>0</v>
      </c>
      <c r="E21" s="13">
        <v>0</v>
      </c>
      <c r="F21" s="24">
        <f t="shared" si="0"/>
        <v>0</v>
      </c>
      <c r="H21" t="s">
        <v>128</v>
      </c>
    </row>
    <row r="22" spans="1:8" ht="15.75" x14ac:dyDescent="0.25">
      <c r="A22" s="5">
        <v>46242</v>
      </c>
      <c r="B22" s="15" t="s">
        <v>131</v>
      </c>
      <c r="C22" s="34" t="s">
        <v>48</v>
      </c>
      <c r="D22" s="13">
        <v>0</v>
      </c>
      <c r="E22" s="13">
        <v>0</v>
      </c>
      <c r="F22" s="24">
        <f t="shared" si="0"/>
        <v>0</v>
      </c>
    </row>
    <row r="23" spans="1:8" ht="15.75" x14ac:dyDescent="0.25">
      <c r="A23" s="5">
        <v>46242</v>
      </c>
      <c r="B23" s="15" t="s">
        <v>132</v>
      </c>
      <c r="C23" s="16" t="s">
        <v>37</v>
      </c>
      <c r="D23" s="13">
        <v>0</v>
      </c>
      <c r="E23" s="13">
        <v>0</v>
      </c>
      <c r="F23" s="24">
        <f t="shared" si="0"/>
        <v>0</v>
      </c>
    </row>
    <row r="24" spans="1:8" ht="15.75" x14ac:dyDescent="0.25">
      <c r="A24" s="5">
        <v>46242</v>
      </c>
      <c r="B24" s="11" t="s">
        <v>103</v>
      </c>
      <c r="C24" s="12" t="s">
        <v>52</v>
      </c>
      <c r="D24" s="13">
        <v>0</v>
      </c>
      <c r="E24" s="13">
        <v>0</v>
      </c>
      <c r="F24" s="24">
        <f t="shared" si="0"/>
        <v>0</v>
      </c>
    </row>
    <row r="25" spans="1:8" ht="15.75" x14ac:dyDescent="0.25">
      <c r="A25" s="5">
        <v>46244</v>
      </c>
      <c r="B25" s="15" t="s">
        <v>137</v>
      </c>
      <c r="C25" s="16" t="s">
        <v>10</v>
      </c>
      <c r="D25" s="13">
        <v>0</v>
      </c>
      <c r="E25" s="13">
        <v>0</v>
      </c>
      <c r="F25" s="24">
        <f t="shared" si="0"/>
        <v>0</v>
      </c>
    </row>
    <row r="26" spans="1:8" ht="15.75" x14ac:dyDescent="0.25">
      <c r="A26" s="5">
        <v>46244</v>
      </c>
      <c r="B26" s="15" t="s">
        <v>138</v>
      </c>
      <c r="C26" s="16" t="s">
        <v>60</v>
      </c>
      <c r="D26" s="13">
        <v>0</v>
      </c>
      <c r="E26" s="13">
        <v>0</v>
      </c>
      <c r="F26" s="24">
        <f t="shared" si="0"/>
        <v>0</v>
      </c>
    </row>
    <row r="27" spans="1:8" ht="15.75" x14ac:dyDescent="0.25">
      <c r="A27" s="5">
        <v>46244</v>
      </c>
      <c r="B27" s="15" t="s">
        <v>136</v>
      </c>
      <c r="C27" s="34" t="s">
        <v>32</v>
      </c>
      <c r="D27" s="13">
        <v>0</v>
      </c>
      <c r="E27" s="13">
        <v>0</v>
      </c>
      <c r="F27" s="24">
        <f t="shared" si="0"/>
        <v>0</v>
      </c>
    </row>
    <row r="28" spans="1:8" ht="15.75" x14ac:dyDescent="0.25">
      <c r="A28" s="5">
        <v>46244</v>
      </c>
      <c r="B28" s="15" t="s">
        <v>135</v>
      </c>
      <c r="C28" s="34" t="s">
        <v>48</v>
      </c>
      <c r="D28" s="13">
        <v>0</v>
      </c>
      <c r="E28" s="13">
        <v>0</v>
      </c>
      <c r="F28" s="24">
        <f t="shared" si="0"/>
        <v>0</v>
      </c>
    </row>
    <row r="29" spans="1:8" ht="15.75" x14ac:dyDescent="0.25">
      <c r="A29" s="5">
        <v>46244</v>
      </c>
      <c r="B29" s="11" t="s">
        <v>103</v>
      </c>
      <c r="C29" s="12" t="s">
        <v>52</v>
      </c>
      <c r="D29" s="13">
        <v>0</v>
      </c>
      <c r="E29" s="13">
        <v>0</v>
      </c>
      <c r="F29" s="24">
        <f t="shared" si="0"/>
        <v>0</v>
      </c>
    </row>
    <row r="30" spans="1:8" ht="15.75" x14ac:dyDescent="0.25">
      <c r="A30" s="5">
        <v>46244</v>
      </c>
      <c r="B30" s="15" t="s">
        <v>134</v>
      </c>
      <c r="C30" s="34" t="s">
        <v>133</v>
      </c>
      <c r="D30" s="13">
        <v>0</v>
      </c>
      <c r="E30" s="13">
        <v>0</v>
      </c>
      <c r="F30" s="24">
        <f t="shared" si="0"/>
        <v>0</v>
      </c>
    </row>
    <row r="31" spans="1:8" ht="15.75" x14ac:dyDescent="0.25">
      <c r="A31" s="5">
        <v>46244</v>
      </c>
      <c r="B31" s="11" t="s">
        <v>124</v>
      </c>
      <c r="C31" s="12" t="s">
        <v>52</v>
      </c>
      <c r="D31" s="13">
        <v>0</v>
      </c>
      <c r="E31" s="13">
        <v>0</v>
      </c>
      <c r="F31" s="24">
        <f t="shared" si="0"/>
        <v>0</v>
      </c>
    </row>
    <row r="32" spans="1:8" ht="15.75" x14ac:dyDescent="0.25">
      <c r="A32" s="10"/>
      <c r="B32" s="15"/>
      <c r="C32" s="16"/>
      <c r="D32" s="13"/>
      <c r="E32" s="13"/>
      <c r="F32" s="24"/>
    </row>
    <row r="33" spans="1:6" ht="15.75" x14ac:dyDescent="0.25">
      <c r="A33" s="10"/>
      <c r="B33" s="15"/>
      <c r="C33" s="16"/>
      <c r="D33" s="13"/>
      <c r="E33" s="13"/>
      <c r="F33" s="24"/>
    </row>
    <row r="34" spans="1:6" ht="15.75" x14ac:dyDescent="0.25">
      <c r="A34" s="10"/>
      <c r="B34" s="15"/>
      <c r="C34" s="16"/>
      <c r="D34" s="13"/>
      <c r="E34" s="13"/>
      <c r="F34" s="24"/>
    </row>
    <row r="35" spans="1:6" ht="15.75" x14ac:dyDescent="0.25">
      <c r="A35" s="10"/>
      <c r="B35" s="15"/>
      <c r="C35" s="16"/>
      <c r="D35" s="13"/>
      <c r="E35" s="13"/>
      <c r="F35" s="24"/>
    </row>
    <row r="36" spans="1:6" ht="15.75" x14ac:dyDescent="0.25">
      <c r="A36" s="10"/>
      <c r="B36" s="15"/>
      <c r="C36" s="16"/>
      <c r="D36" s="13"/>
      <c r="E36" s="13"/>
      <c r="F36" s="24"/>
    </row>
    <row r="37" spans="1:6" ht="15.75" x14ac:dyDescent="0.25">
      <c r="A37" s="10"/>
      <c r="B37" s="15"/>
      <c r="C37" s="16"/>
      <c r="D37" s="13"/>
      <c r="E37" s="13"/>
      <c r="F37" s="24"/>
    </row>
    <row r="38" spans="1:6" ht="15.75" x14ac:dyDescent="0.25">
      <c r="A38" s="10"/>
      <c r="B38" s="15"/>
      <c r="C38" s="16"/>
      <c r="D38" s="13"/>
      <c r="E38" s="13"/>
      <c r="F38" s="24"/>
    </row>
    <row r="39" spans="1:6" ht="15.75" x14ac:dyDescent="0.25">
      <c r="A39" s="10"/>
      <c r="B39" s="15"/>
      <c r="C39" s="16"/>
      <c r="D39" s="13"/>
      <c r="E39" s="13"/>
      <c r="F39" s="24"/>
    </row>
    <row r="40" spans="1:6" ht="15.75" x14ac:dyDescent="0.25">
      <c r="A40" s="10"/>
      <c r="B40" s="15"/>
      <c r="C40" s="16"/>
      <c r="D40" s="13"/>
      <c r="E40" s="13"/>
      <c r="F40" s="24"/>
    </row>
    <row r="41" spans="1:6" ht="15.75" x14ac:dyDescent="0.25">
      <c r="A41" s="10"/>
      <c r="B41" s="15"/>
      <c r="C41" s="16"/>
      <c r="D41" s="13"/>
      <c r="E41" s="13"/>
      <c r="F41" s="24"/>
    </row>
    <row r="42" spans="1:6" ht="15.75" x14ac:dyDescent="0.25">
      <c r="A42" s="10"/>
      <c r="B42" s="15"/>
      <c r="C42" s="16"/>
      <c r="D42" s="13"/>
      <c r="E42" s="13"/>
      <c r="F42" s="24"/>
    </row>
    <row r="43" spans="1:6" ht="15.75" x14ac:dyDescent="0.25">
      <c r="A43" s="10"/>
      <c r="B43" s="15"/>
      <c r="C43" s="16"/>
      <c r="D43" s="13"/>
      <c r="E43" s="13"/>
      <c r="F43" s="24"/>
    </row>
    <row r="44" spans="1:6" ht="15.75" x14ac:dyDescent="0.25">
      <c r="A44" s="10"/>
      <c r="B44" s="15"/>
      <c r="C44" s="16"/>
      <c r="D44" s="13"/>
      <c r="E44" s="13"/>
      <c r="F44" s="24"/>
    </row>
    <row r="45" spans="1:6" ht="15.75" x14ac:dyDescent="0.25">
      <c r="A45" s="10"/>
      <c r="B45" s="15"/>
      <c r="C45" s="16"/>
      <c r="D45" s="13"/>
      <c r="E45" s="13"/>
      <c r="F45" s="24"/>
    </row>
    <row r="46" spans="1:6" ht="15.75" x14ac:dyDescent="0.25">
      <c r="A46" s="10"/>
      <c r="B46" s="15"/>
      <c r="C46" s="16"/>
      <c r="D46" s="13"/>
      <c r="E46" s="13"/>
      <c r="F46" s="24"/>
    </row>
    <row r="47" spans="1:6" ht="15.75" x14ac:dyDescent="0.25">
      <c r="A47" s="10"/>
      <c r="B47" s="15"/>
      <c r="C47" s="16"/>
      <c r="D47" s="13"/>
      <c r="E47" s="13"/>
      <c r="F47" s="24"/>
    </row>
    <row r="48" spans="1:6" ht="15.75" x14ac:dyDescent="0.25">
      <c r="A48" s="10"/>
      <c r="B48" s="15"/>
      <c r="C48" s="16"/>
      <c r="D48" s="13"/>
      <c r="E48" s="13"/>
      <c r="F48" s="24"/>
    </row>
    <row r="49" spans="1:6" ht="15.75" x14ac:dyDescent="0.25">
      <c r="A49" s="10"/>
      <c r="B49" s="15"/>
      <c r="C49" s="16"/>
      <c r="D49" s="13"/>
      <c r="E49" s="13"/>
      <c r="F49" s="24"/>
    </row>
    <row r="50" spans="1:6" ht="15.75" x14ac:dyDescent="0.25">
      <c r="A50" s="10"/>
      <c r="B50" s="15"/>
      <c r="C50" s="16"/>
      <c r="D50" s="13"/>
      <c r="E50" s="13"/>
      <c r="F50" s="24"/>
    </row>
    <row r="51" spans="1:6" ht="15.75" x14ac:dyDescent="0.25">
      <c r="A51" s="10"/>
      <c r="B51" s="15"/>
      <c r="C51" s="16"/>
      <c r="D51" s="13"/>
      <c r="E51" s="13"/>
      <c r="F51" s="24"/>
    </row>
    <row r="52" spans="1:6" ht="15.75" x14ac:dyDescent="0.25">
      <c r="A52" s="10"/>
      <c r="B52" s="15"/>
      <c r="C52" s="16"/>
      <c r="D52" s="13"/>
      <c r="E52" s="13"/>
      <c r="F52" s="24"/>
    </row>
    <row r="53" spans="1:6" ht="15.75" x14ac:dyDescent="0.25">
      <c r="A53" s="10"/>
      <c r="B53" s="15"/>
      <c r="C53" s="16"/>
      <c r="D53" s="13"/>
      <c r="E53" s="13"/>
      <c r="F53" s="24"/>
    </row>
    <row r="54" spans="1:6" ht="15.75" x14ac:dyDescent="0.25">
      <c r="A54" s="10"/>
      <c r="B54" s="15"/>
      <c r="C54" s="16"/>
      <c r="D54" s="13"/>
      <c r="E54" s="13"/>
      <c r="F54" s="24"/>
    </row>
    <row r="55" spans="1:6" ht="15.75" x14ac:dyDescent="0.25">
      <c r="A55" s="10"/>
      <c r="B55" s="15"/>
      <c r="C55" s="16"/>
      <c r="D55" s="13"/>
      <c r="E55" s="13"/>
      <c r="F55" s="24"/>
    </row>
    <row r="56" spans="1:6" ht="15.75" x14ac:dyDescent="0.25">
      <c r="A56" s="10"/>
      <c r="B56" s="15"/>
      <c r="C56" s="16"/>
      <c r="D56" s="13"/>
      <c r="E56" s="13"/>
      <c r="F56" s="24"/>
    </row>
    <row r="57" spans="1:6" ht="15.75" x14ac:dyDescent="0.25">
      <c r="A57" s="10"/>
      <c r="B57" s="15"/>
      <c r="C57" s="16"/>
      <c r="D57" s="13"/>
      <c r="E57" s="13"/>
      <c r="F57" s="24"/>
    </row>
    <row r="58" spans="1:6" ht="15.75" x14ac:dyDescent="0.25">
      <c r="A58" s="10"/>
      <c r="B58" s="15"/>
      <c r="C58" s="16"/>
      <c r="D58" s="13"/>
      <c r="E58" s="13"/>
      <c r="F58" s="24"/>
    </row>
    <row r="59" spans="1:6" ht="15.75" x14ac:dyDescent="0.25">
      <c r="A59" s="10"/>
      <c r="B59" s="15"/>
      <c r="C59" s="16"/>
      <c r="D59" s="13"/>
      <c r="E59" s="13"/>
      <c r="F59" s="24"/>
    </row>
    <row r="60" spans="1:6" ht="15.75" x14ac:dyDescent="0.25">
      <c r="A60" s="10"/>
      <c r="B60" s="15"/>
      <c r="C60" s="16"/>
      <c r="D60" s="13"/>
      <c r="E60" s="13"/>
      <c r="F60" s="24"/>
    </row>
    <row r="61" spans="1:6" ht="15.75" x14ac:dyDescent="0.25">
      <c r="A61" s="10"/>
      <c r="B61" s="15"/>
      <c r="C61" s="16"/>
      <c r="D61" s="17"/>
      <c r="E61" s="13"/>
      <c r="F61" s="24"/>
    </row>
    <row r="62" spans="1:6" ht="15.75" x14ac:dyDescent="0.25">
      <c r="A62" s="5"/>
      <c r="B62" s="18"/>
      <c r="C62" s="19"/>
      <c r="D62" s="14"/>
      <c r="E62" s="8"/>
      <c r="F62" s="24"/>
    </row>
    <row r="63" spans="1:6" ht="3" customHeight="1" x14ac:dyDescent="0.25">
      <c r="C63" s="20"/>
      <c r="D63" s="21"/>
      <c r="E63" s="21"/>
    </row>
    <row r="64" spans="1:6" ht="16.5" thickBot="1" x14ac:dyDescent="0.3">
      <c r="C64" s="20"/>
      <c r="D64" s="22">
        <f>SUM(D5:D63)</f>
        <v>0</v>
      </c>
      <c r="E64" s="22">
        <f>SUM(E5:E63)</f>
        <v>0</v>
      </c>
      <c r="F64" s="23">
        <f>F5+D64-E64</f>
        <v>0</v>
      </c>
    </row>
    <row r="65" ht="15.75" thickTop="1" x14ac:dyDescent="0.25"/>
  </sheetData>
  <mergeCells count="2">
    <mergeCell ref="A1:F1"/>
    <mergeCell ref="A2:F2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>
      <selection activeCell="H14" sqref="H14:H15"/>
    </sheetView>
  </sheetViews>
  <sheetFormatPr defaultRowHeight="15" x14ac:dyDescent="0.25"/>
  <cols>
    <col min="1" max="1" width="9.28515625" customWidth="1"/>
    <col min="2" max="2" width="39" customWidth="1"/>
    <col min="3" max="3" width="13.7109375" customWidth="1"/>
    <col min="4" max="6" width="17.28515625" customWidth="1"/>
    <col min="7" max="7" width="1.7109375" customWidth="1"/>
  </cols>
  <sheetData>
    <row r="1" spans="1:8" ht="35.25" x14ac:dyDescent="0.5">
      <c r="A1" s="37" t="s">
        <v>3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9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46204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</row>
    <row r="6" spans="1:8" ht="15.75" x14ac:dyDescent="0.25">
      <c r="A6" s="10"/>
      <c r="B6" s="11"/>
      <c r="C6" s="12"/>
      <c r="D6" s="17">
        <v>0</v>
      </c>
      <c r="E6" s="13">
        <v>0</v>
      </c>
      <c r="F6" s="24">
        <f>F5-D6+E6</f>
        <v>0</v>
      </c>
      <c r="H6" t="s">
        <v>10</v>
      </c>
    </row>
    <row r="7" spans="1:8" ht="15.75" x14ac:dyDescent="0.25">
      <c r="A7" s="10"/>
      <c r="B7" s="15"/>
      <c r="C7" s="16"/>
      <c r="D7" s="17">
        <v>0</v>
      </c>
      <c r="E7" s="13">
        <v>0</v>
      </c>
      <c r="F7" s="24">
        <f>F6-D7+E7</f>
        <v>0</v>
      </c>
      <c r="H7" t="s">
        <v>11</v>
      </c>
    </row>
    <row r="8" spans="1:8" ht="15.75" x14ac:dyDescent="0.25">
      <c r="A8" s="10"/>
      <c r="B8" s="15"/>
      <c r="C8" s="16"/>
      <c r="D8" s="17"/>
      <c r="E8" s="13"/>
      <c r="F8" s="24">
        <f>F7-D8+E8</f>
        <v>0</v>
      </c>
      <c r="H8" t="s">
        <v>12</v>
      </c>
    </row>
    <row r="9" spans="1:8" ht="15.75" x14ac:dyDescent="0.25">
      <c r="A9" s="10"/>
      <c r="B9" s="15"/>
      <c r="C9" s="16"/>
      <c r="D9" s="17"/>
      <c r="E9" s="13"/>
      <c r="F9" s="14"/>
      <c r="H9" t="s">
        <v>13</v>
      </c>
    </row>
    <row r="10" spans="1:8" ht="15.75" x14ac:dyDescent="0.25">
      <c r="A10" s="10"/>
      <c r="B10" s="15"/>
      <c r="C10" s="16"/>
      <c r="D10" s="17"/>
      <c r="E10" s="13"/>
      <c r="F10" s="14"/>
      <c r="H10" t="s">
        <v>14</v>
      </c>
    </row>
    <row r="11" spans="1:8" ht="15.75" x14ac:dyDescent="0.25">
      <c r="A11" s="10"/>
      <c r="B11" s="15"/>
      <c r="C11" s="16"/>
      <c r="D11" s="17"/>
      <c r="E11" s="13"/>
      <c r="F11" s="14"/>
      <c r="H11" t="s">
        <v>15</v>
      </c>
    </row>
    <row r="12" spans="1:8" ht="15.75" x14ac:dyDescent="0.25">
      <c r="A12" s="10"/>
      <c r="B12" s="15"/>
      <c r="C12" s="16"/>
      <c r="D12" s="17"/>
      <c r="E12" s="13"/>
      <c r="F12" s="14"/>
      <c r="H12" t="s">
        <v>16</v>
      </c>
    </row>
    <row r="13" spans="1:8" ht="15.75" x14ac:dyDescent="0.25">
      <c r="A13" s="10"/>
      <c r="B13" s="15"/>
      <c r="C13" s="16"/>
      <c r="D13" s="17"/>
      <c r="E13" s="13"/>
      <c r="F13" s="14"/>
      <c r="H13" t="s">
        <v>17</v>
      </c>
    </row>
    <row r="14" spans="1:8" ht="15.75" x14ac:dyDescent="0.25">
      <c r="A14" s="10"/>
      <c r="B14" s="15"/>
      <c r="C14" s="16"/>
      <c r="D14" s="17"/>
      <c r="E14" s="13"/>
      <c r="F14" s="14"/>
      <c r="H14" t="s">
        <v>52</v>
      </c>
    </row>
    <row r="15" spans="1:8" ht="15.75" x14ac:dyDescent="0.25">
      <c r="A15" s="10"/>
      <c r="B15" s="15"/>
      <c r="C15" s="16"/>
      <c r="D15" s="17"/>
      <c r="E15" s="13"/>
      <c r="F15" s="14"/>
      <c r="H15" t="s">
        <v>53</v>
      </c>
    </row>
    <row r="16" spans="1:8" ht="15.75" x14ac:dyDescent="0.25">
      <c r="A16" s="10"/>
      <c r="B16" s="15"/>
      <c r="C16" s="16"/>
      <c r="D16" s="17"/>
      <c r="E16" s="13"/>
      <c r="F16" s="14"/>
    </row>
    <row r="17" spans="1:6" ht="15.75" x14ac:dyDescent="0.25">
      <c r="A17" s="10"/>
      <c r="B17" s="15"/>
      <c r="C17" s="16"/>
      <c r="D17" s="17"/>
      <c r="E17" s="13"/>
      <c r="F17" s="14"/>
    </row>
    <row r="18" spans="1:6" ht="15.75" x14ac:dyDescent="0.25">
      <c r="A18" s="10"/>
      <c r="B18" s="15"/>
      <c r="C18" s="16"/>
      <c r="D18" s="17"/>
      <c r="E18" s="13"/>
      <c r="F18" s="14"/>
    </row>
    <row r="19" spans="1:6" ht="15.75" x14ac:dyDescent="0.25">
      <c r="A19" s="10"/>
      <c r="B19" s="15"/>
      <c r="C19" s="16"/>
      <c r="D19" s="17"/>
      <c r="E19" s="13"/>
      <c r="F19" s="14"/>
    </row>
    <row r="20" spans="1:6" ht="15.75" x14ac:dyDescent="0.25">
      <c r="A20" s="10"/>
      <c r="B20" s="15"/>
      <c r="C20" s="16"/>
      <c r="D20" s="17"/>
      <c r="E20" s="13"/>
      <c r="F20" s="14"/>
    </row>
    <row r="21" spans="1:6" ht="15.75" x14ac:dyDescent="0.25">
      <c r="A21" s="10"/>
      <c r="B21" s="15"/>
      <c r="C21" s="16"/>
      <c r="D21" s="17"/>
      <c r="E21" s="13"/>
      <c r="F21" s="14"/>
    </row>
    <row r="22" spans="1:6" ht="15.75" x14ac:dyDescent="0.25">
      <c r="A22" s="10"/>
      <c r="B22" s="15"/>
      <c r="C22" s="16"/>
      <c r="D22" s="17"/>
      <c r="E22" s="13"/>
      <c r="F22" s="14"/>
    </row>
    <row r="23" spans="1:6" ht="15.75" x14ac:dyDescent="0.25">
      <c r="A23" s="10"/>
      <c r="B23" s="15"/>
      <c r="C23" s="16"/>
      <c r="D23" s="17"/>
      <c r="E23" s="13"/>
      <c r="F23" s="14"/>
    </row>
    <row r="24" spans="1:6" ht="15.75" x14ac:dyDescent="0.25">
      <c r="A24" s="10"/>
      <c r="B24" s="15"/>
      <c r="C24" s="16"/>
      <c r="D24" s="17"/>
      <c r="E24" s="13"/>
      <c r="F24" s="14"/>
    </row>
    <row r="25" spans="1:6" ht="15.75" x14ac:dyDescent="0.25">
      <c r="A25" s="10"/>
      <c r="B25" s="15"/>
      <c r="C25" s="16"/>
      <c r="D25" s="17"/>
      <c r="E25" s="13"/>
      <c r="F25" s="14"/>
    </row>
    <row r="26" spans="1:6" ht="15.75" x14ac:dyDescent="0.25">
      <c r="A26" s="10"/>
      <c r="B26" s="15"/>
      <c r="C26" s="16"/>
      <c r="D26" s="17"/>
      <c r="E26" s="13"/>
      <c r="F26" s="14"/>
    </row>
    <row r="27" spans="1:6" ht="15.75" x14ac:dyDescent="0.25">
      <c r="A27" s="10"/>
      <c r="B27" s="15"/>
      <c r="C27" s="16"/>
      <c r="D27" s="17"/>
      <c r="E27" s="13"/>
      <c r="F27" s="14"/>
    </row>
    <row r="28" spans="1:6" ht="15.75" x14ac:dyDescent="0.25">
      <c r="A28" s="10"/>
      <c r="B28" s="15"/>
      <c r="C28" s="16"/>
      <c r="D28" s="17"/>
      <c r="E28" s="13"/>
      <c r="F28" s="14"/>
    </row>
    <row r="29" spans="1:6" ht="15.75" x14ac:dyDescent="0.25">
      <c r="A29" s="10"/>
      <c r="B29" s="15"/>
      <c r="C29" s="16"/>
      <c r="D29" s="17"/>
      <c r="E29" s="13"/>
      <c r="F29" s="14"/>
    </row>
    <row r="30" spans="1:6" ht="15.75" x14ac:dyDescent="0.25">
      <c r="A30" s="10"/>
      <c r="B30" s="15"/>
      <c r="C30" s="16"/>
      <c r="D30" s="17"/>
      <c r="E30" s="13"/>
      <c r="F30" s="14"/>
    </row>
    <row r="31" spans="1:6" ht="15.75" x14ac:dyDescent="0.25">
      <c r="A31" s="5"/>
      <c r="B31" s="18"/>
      <c r="C31" s="19"/>
      <c r="D31" s="14"/>
      <c r="E31" s="8"/>
      <c r="F31" s="14"/>
    </row>
    <row r="32" spans="1:6" ht="15.75" x14ac:dyDescent="0.25">
      <c r="A32" s="5"/>
      <c r="B32" s="18"/>
      <c r="C32" s="19"/>
      <c r="D32" s="14"/>
      <c r="E32" s="8"/>
      <c r="F32" s="14"/>
    </row>
    <row r="33" spans="3:6" ht="15.75" x14ac:dyDescent="0.25">
      <c r="C33" s="20"/>
      <c r="D33" s="21"/>
      <c r="E33" s="21"/>
      <c r="F33" s="21"/>
    </row>
    <row r="34" spans="3:6" ht="16.5" thickBot="1" x14ac:dyDescent="0.3">
      <c r="C34" s="20"/>
      <c r="D34" s="22">
        <f>SUM(D5:D33)</f>
        <v>0</v>
      </c>
      <c r="E34" s="22">
        <f>SUM(E5:E33)</f>
        <v>0</v>
      </c>
      <c r="F34" s="23">
        <f>F5+D34-E34</f>
        <v>0</v>
      </c>
    </row>
    <row r="35" spans="3:6" ht="15.75" thickTop="1" x14ac:dyDescent="0.25"/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zoomScaleNormal="100" workbookViewId="0">
      <selection activeCell="D7" sqref="D7:D8"/>
    </sheetView>
  </sheetViews>
  <sheetFormatPr defaultRowHeight="15" x14ac:dyDescent="0.25"/>
  <cols>
    <col min="1" max="1" width="9.28515625" customWidth="1"/>
    <col min="2" max="2" width="35.5703125" customWidth="1"/>
    <col min="3" max="3" width="12.42578125" bestFit="1" customWidth="1"/>
    <col min="4" max="6" width="10.140625" customWidth="1"/>
    <col min="7" max="7" width="1.7109375" customWidth="1"/>
    <col min="8" max="8" width="19.7109375" bestFit="1" customWidth="1"/>
  </cols>
  <sheetData>
    <row r="1" spans="1:8" ht="35.25" x14ac:dyDescent="0.5">
      <c r="A1" s="37" t="s">
        <v>3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18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46204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</row>
    <row r="6" spans="1:8" ht="15.75" x14ac:dyDescent="0.25">
      <c r="A6" s="10"/>
      <c r="B6" s="15"/>
      <c r="C6" s="16"/>
      <c r="D6" s="17"/>
      <c r="E6" s="13"/>
      <c r="F6" s="24">
        <f>F5-D6+E6</f>
        <v>0</v>
      </c>
      <c r="H6" t="s">
        <v>19</v>
      </c>
    </row>
    <row r="7" spans="1:8" ht="15.75" x14ac:dyDescent="0.25">
      <c r="A7" s="10"/>
      <c r="B7" s="15"/>
      <c r="C7" s="16"/>
      <c r="D7" s="17"/>
      <c r="E7" s="13"/>
      <c r="F7" s="24">
        <f>F6-D7+E7</f>
        <v>0</v>
      </c>
      <c r="H7" t="s">
        <v>20</v>
      </c>
    </row>
    <row r="8" spans="1:8" ht="15.75" x14ac:dyDescent="0.25">
      <c r="A8" s="10"/>
      <c r="B8" s="15"/>
      <c r="C8" s="16"/>
      <c r="D8" s="17"/>
      <c r="E8" s="13"/>
      <c r="F8" s="24">
        <f>F7-D8+E8</f>
        <v>0</v>
      </c>
      <c r="H8" t="s">
        <v>21</v>
      </c>
    </row>
    <row r="9" spans="1:8" ht="15.75" x14ac:dyDescent="0.25">
      <c r="A9" s="10"/>
      <c r="B9" s="15"/>
      <c r="C9" s="16"/>
      <c r="D9" s="17"/>
      <c r="E9" s="13"/>
      <c r="F9" s="24">
        <f>F8-D9+E9</f>
        <v>0</v>
      </c>
      <c r="H9" t="s">
        <v>22</v>
      </c>
    </row>
    <row r="10" spans="1:8" ht="15.75" x14ac:dyDescent="0.25">
      <c r="A10" s="10"/>
      <c r="B10" s="15"/>
      <c r="C10" s="16"/>
      <c r="D10" s="17"/>
      <c r="E10" s="13"/>
      <c r="F10" s="14"/>
      <c r="H10" t="s">
        <v>29</v>
      </c>
    </row>
    <row r="11" spans="1:8" ht="15.75" x14ac:dyDescent="0.25">
      <c r="A11" s="10"/>
      <c r="B11" s="15"/>
      <c r="C11" s="16"/>
      <c r="D11" s="17"/>
      <c r="E11" s="13"/>
      <c r="F11" s="14"/>
      <c r="H11" t="s">
        <v>30</v>
      </c>
    </row>
    <row r="12" spans="1:8" ht="15.75" x14ac:dyDescent="0.25">
      <c r="A12" s="10"/>
      <c r="B12" s="15"/>
      <c r="C12" s="16"/>
      <c r="D12" s="17"/>
      <c r="E12" s="13"/>
      <c r="F12" s="14"/>
      <c r="H12" t="s">
        <v>23</v>
      </c>
    </row>
    <row r="13" spans="1:8" ht="15.75" x14ac:dyDescent="0.25">
      <c r="A13" s="10"/>
      <c r="B13" s="15"/>
      <c r="C13" s="16"/>
      <c r="D13" s="17"/>
      <c r="E13" s="13"/>
      <c r="F13" s="14"/>
      <c r="H13" t="s">
        <v>24</v>
      </c>
    </row>
    <row r="14" spans="1:8" ht="15.75" x14ac:dyDescent="0.25">
      <c r="A14" s="10"/>
      <c r="B14" s="15"/>
      <c r="C14" s="16"/>
      <c r="D14" s="17"/>
      <c r="E14" s="13"/>
      <c r="F14" s="14"/>
      <c r="H14" t="s">
        <v>25</v>
      </c>
    </row>
    <row r="15" spans="1:8" ht="15.75" x14ac:dyDescent="0.25">
      <c r="A15" s="10"/>
      <c r="B15" s="15"/>
      <c r="C15" s="16"/>
      <c r="D15" s="17"/>
      <c r="E15" s="13"/>
      <c r="F15" s="14"/>
      <c r="H15" t="s">
        <v>26</v>
      </c>
    </row>
    <row r="16" spans="1:8" ht="15.75" x14ac:dyDescent="0.25">
      <c r="A16" s="10"/>
      <c r="B16" s="15"/>
      <c r="C16" s="16"/>
      <c r="D16" s="17"/>
      <c r="E16" s="13"/>
      <c r="F16" s="14"/>
      <c r="H16" t="s">
        <v>27</v>
      </c>
    </row>
    <row r="17" spans="1:8" ht="15.75" x14ac:dyDescent="0.25">
      <c r="A17" s="10"/>
      <c r="B17" s="15"/>
      <c r="C17" s="16"/>
      <c r="D17" s="17"/>
      <c r="E17" s="13"/>
      <c r="F17" s="14"/>
      <c r="H17" t="s">
        <v>28</v>
      </c>
    </row>
    <row r="18" spans="1:8" ht="15.75" x14ac:dyDescent="0.25">
      <c r="A18" s="10"/>
      <c r="B18" s="15"/>
      <c r="C18" s="16"/>
      <c r="D18" s="17"/>
      <c r="E18" s="13"/>
      <c r="F18" s="14"/>
      <c r="H18" t="s">
        <v>52</v>
      </c>
    </row>
    <row r="19" spans="1:8" ht="15.75" x14ac:dyDescent="0.25">
      <c r="A19" s="10"/>
      <c r="B19" s="15"/>
      <c r="C19" s="16"/>
      <c r="D19" s="17"/>
      <c r="E19" s="13"/>
      <c r="F19" s="14"/>
      <c r="H19" t="s">
        <v>53</v>
      </c>
    </row>
    <row r="20" spans="1:8" ht="15.75" x14ac:dyDescent="0.25">
      <c r="A20" s="10"/>
      <c r="B20" s="15"/>
      <c r="C20" s="16"/>
      <c r="D20" s="17"/>
      <c r="E20" s="13"/>
      <c r="F20" s="14"/>
    </row>
    <row r="21" spans="1:8" ht="15.75" x14ac:dyDescent="0.25">
      <c r="A21" s="10"/>
      <c r="B21" s="15"/>
      <c r="C21" s="16"/>
      <c r="D21" s="17"/>
      <c r="E21" s="13"/>
      <c r="F21" s="14"/>
    </row>
    <row r="22" spans="1:8" ht="15.75" x14ac:dyDescent="0.25">
      <c r="A22" s="10"/>
      <c r="B22" s="15"/>
      <c r="C22" s="16"/>
      <c r="D22" s="17"/>
      <c r="E22" s="13"/>
      <c r="F22" s="14"/>
    </row>
    <row r="23" spans="1:8" ht="15.75" x14ac:dyDescent="0.25">
      <c r="A23" s="10"/>
      <c r="B23" s="15"/>
      <c r="C23" s="16"/>
      <c r="D23" s="17"/>
      <c r="E23" s="13"/>
      <c r="F23" s="14"/>
    </row>
    <row r="24" spans="1:8" ht="15.75" x14ac:dyDescent="0.25">
      <c r="A24" s="10"/>
      <c r="B24" s="15"/>
      <c r="C24" s="16"/>
      <c r="D24" s="17"/>
      <c r="E24" s="13"/>
      <c r="F24" s="14"/>
    </row>
    <row r="25" spans="1:8" ht="15.75" x14ac:dyDescent="0.25">
      <c r="A25" s="10"/>
      <c r="B25" s="15"/>
      <c r="C25" s="16"/>
      <c r="D25" s="17"/>
      <c r="E25" s="13"/>
      <c r="F25" s="14"/>
    </row>
    <row r="26" spans="1:8" ht="15.75" x14ac:dyDescent="0.25">
      <c r="A26" s="10"/>
      <c r="B26" s="15"/>
      <c r="C26" s="16"/>
      <c r="D26" s="17"/>
      <c r="E26" s="13"/>
      <c r="F26" s="14"/>
    </row>
    <row r="27" spans="1:8" ht="15.75" x14ac:dyDescent="0.25">
      <c r="A27" s="10"/>
      <c r="B27" s="15"/>
      <c r="C27" s="16"/>
      <c r="D27" s="17"/>
      <c r="E27" s="13"/>
      <c r="F27" s="14"/>
    </row>
    <row r="28" spans="1:8" ht="15.75" x14ac:dyDescent="0.25">
      <c r="A28" s="10"/>
      <c r="B28" s="15"/>
      <c r="C28" s="16"/>
      <c r="D28" s="17"/>
      <c r="E28" s="13"/>
      <c r="F28" s="14"/>
    </row>
    <row r="29" spans="1:8" ht="15.75" x14ac:dyDescent="0.25">
      <c r="A29" s="10"/>
      <c r="B29" s="15"/>
      <c r="C29" s="16"/>
      <c r="D29" s="17"/>
      <c r="E29" s="13"/>
      <c r="F29" s="14"/>
    </row>
    <row r="30" spans="1:8" ht="15.75" x14ac:dyDescent="0.25">
      <c r="A30" s="10"/>
      <c r="B30" s="15"/>
      <c r="C30" s="16"/>
      <c r="D30" s="17"/>
      <c r="E30" s="13"/>
      <c r="F30" s="14"/>
    </row>
    <row r="31" spans="1:8" ht="15.75" x14ac:dyDescent="0.25">
      <c r="A31" s="5"/>
      <c r="B31" s="18"/>
      <c r="C31" s="19"/>
      <c r="D31" s="14"/>
      <c r="E31" s="8"/>
      <c r="F31" s="14"/>
    </row>
    <row r="32" spans="1:8" ht="15.75" x14ac:dyDescent="0.25">
      <c r="A32" s="5"/>
      <c r="B32" s="18"/>
      <c r="C32" s="19"/>
      <c r="D32" s="14"/>
      <c r="E32" s="8"/>
      <c r="F32" s="14"/>
    </row>
    <row r="33" spans="3:6" ht="15.75" x14ac:dyDescent="0.25">
      <c r="C33" s="20"/>
      <c r="D33" s="21"/>
      <c r="E33" s="21"/>
      <c r="F33" s="21"/>
    </row>
    <row r="34" spans="3:6" ht="16.5" thickBot="1" x14ac:dyDescent="0.3">
      <c r="C34" s="20"/>
      <c r="D34" s="22">
        <f>SUM(D5:D33)</f>
        <v>0</v>
      </c>
      <c r="E34" s="22">
        <f>SUM(E5:E33)</f>
        <v>0</v>
      </c>
      <c r="F34" s="23">
        <f>F5+D34-E34</f>
        <v>0</v>
      </c>
    </row>
    <row r="35" spans="3:6" ht="15.75" thickTop="1" x14ac:dyDescent="0.25"/>
  </sheetData>
  <mergeCells count="2">
    <mergeCell ref="A1:F1"/>
    <mergeCell ref="A2:F2"/>
  </mergeCell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workbookViewId="0">
      <selection activeCell="H14" sqref="H14:H15"/>
    </sheetView>
  </sheetViews>
  <sheetFormatPr defaultRowHeight="15" x14ac:dyDescent="0.25"/>
  <cols>
    <col min="1" max="1" width="9.28515625" customWidth="1"/>
    <col min="2" max="2" width="39" customWidth="1"/>
    <col min="3" max="3" width="13.7109375" customWidth="1"/>
    <col min="4" max="6" width="17.28515625" customWidth="1"/>
    <col min="7" max="7" width="1.7109375" customWidth="1"/>
  </cols>
  <sheetData>
    <row r="1" spans="1:8" ht="35.25" x14ac:dyDescent="0.5">
      <c r="A1" s="37" t="s">
        <v>42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9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46204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</row>
    <row r="6" spans="1:8" ht="15.75" x14ac:dyDescent="0.25">
      <c r="A6" s="10"/>
      <c r="B6" s="11"/>
      <c r="C6" s="12"/>
      <c r="D6" s="17">
        <v>0</v>
      </c>
      <c r="E6" s="13">
        <v>0</v>
      </c>
      <c r="F6" s="24">
        <f>F5-D6+E6</f>
        <v>0</v>
      </c>
      <c r="H6" t="s">
        <v>10</v>
      </c>
    </row>
    <row r="7" spans="1:8" ht="15.75" x14ac:dyDescent="0.25">
      <c r="A7" s="10"/>
      <c r="B7" s="15"/>
      <c r="C7" s="16"/>
      <c r="D7" s="17">
        <v>0</v>
      </c>
      <c r="E7" s="13">
        <v>0</v>
      </c>
      <c r="F7" s="24">
        <f>F6-D7+E7</f>
        <v>0</v>
      </c>
      <c r="H7" t="s">
        <v>11</v>
      </c>
    </row>
    <row r="8" spans="1:8" ht="15.75" x14ac:dyDescent="0.25">
      <c r="A8" s="10"/>
      <c r="B8" s="15"/>
      <c r="C8" s="16"/>
      <c r="D8" s="17"/>
      <c r="E8" s="13"/>
      <c r="F8" s="24">
        <f>F7-D8+E8</f>
        <v>0</v>
      </c>
      <c r="H8" t="s">
        <v>12</v>
      </c>
    </row>
    <row r="9" spans="1:8" ht="15.75" x14ac:dyDescent="0.25">
      <c r="A9" s="10"/>
      <c r="B9" s="15"/>
      <c r="C9" s="16"/>
      <c r="D9" s="17"/>
      <c r="E9" s="13"/>
      <c r="F9" s="14"/>
      <c r="H9" t="s">
        <v>13</v>
      </c>
    </row>
    <row r="10" spans="1:8" ht="15.75" x14ac:dyDescent="0.25">
      <c r="A10" s="10"/>
      <c r="B10" s="15"/>
      <c r="C10" s="16"/>
      <c r="D10" s="17"/>
      <c r="E10" s="13"/>
      <c r="F10" s="14"/>
      <c r="H10" t="s">
        <v>14</v>
      </c>
    </row>
    <row r="11" spans="1:8" ht="15.75" x14ac:dyDescent="0.25">
      <c r="A11" s="10"/>
      <c r="B11" s="15"/>
      <c r="C11" s="16"/>
      <c r="D11" s="17"/>
      <c r="E11" s="13"/>
      <c r="F11" s="14"/>
      <c r="H11" t="s">
        <v>15</v>
      </c>
    </row>
    <row r="12" spans="1:8" ht="15.75" x14ac:dyDescent="0.25">
      <c r="A12" s="10"/>
      <c r="B12" s="15"/>
      <c r="C12" s="16"/>
      <c r="D12" s="17"/>
      <c r="E12" s="13"/>
      <c r="F12" s="14"/>
      <c r="H12" t="s">
        <v>16</v>
      </c>
    </row>
    <row r="13" spans="1:8" ht="15.75" x14ac:dyDescent="0.25">
      <c r="A13" s="10"/>
      <c r="B13" s="15"/>
      <c r="C13" s="16"/>
      <c r="D13" s="17"/>
      <c r="E13" s="13"/>
      <c r="F13" s="14"/>
      <c r="H13" t="s">
        <v>17</v>
      </c>
    </row>
    <row r="14" spans="1:8" ht="15.75" x14ac:dyDescent="0.25">
      <c r="A14" s="10"/>
      <c r="B14" s="15"/>
      <c r="C14" s="16"/>
      <c r="D14" s="17"/>
      <c r="E14" s="13"/>
      <c r="F14" s="14"/>
      <c r="H14" t="s">
        <v>52</v>
      </c>
    </row>
    <row r="15" spans="1:8" ht="15.75" x14ac:dyDescent="0.25">
      <c r="A15" s="10"/>
      <c r="B15" s="15"/>
      <c r="C15" s="16"/>
      <c r="D15" s="17"/>
      <c r="E15" s="13"/>
      <c r="F15" s="14"/>
      <c r="H15" t="s">
        <v>53</v>
      </c>
    </row>
    <row r="16" spans="1:8" ht="15.75" x14ac:dyDescent="0.25">
      <c r="A16" s="10"/>
      <c r="B16" s="15"/>
      <c r="C16" s="16"/>
      <c r="D16" s="17"/>
      <c r="E16" s="13"/>
      <c r="F16" s="14"/>
    </row>
    <row r="17" spans="1:6" ht="15.75" x14ac:dyDescent="0.25">
      <c r="A17" s="10"/>
      <c r="B17" s="15"/>
      <c r="C17" s="16"/>
      <c r="D17" s="17"/>
      <c r="E17" s="13"/>
      <c r="F17" s="14"/>
    </row>
    <row r="18" spans="1:6" ht="15.75" x14ac:dyDescent="0.25">
      <c r="A18" s="10"/>
      <c r="B18" s="15"/>
      <c r="C18" s="16"/>
      <c r="D18" s="17"/>
      <c r="E18" s="13"/>
      <c r="F18" s="14"/>
    </row>
    <row r="19" spans="1:6" ht="15.75" x14ac:dyDescent="0.25">
      <c r="A19" s="10"/>
      <c r="B19" s="15"/>
      <c r="C19" s="16"/>
      <c r="D19" s="17"/>
      <c r="E19" s="13"/>
      <c r="F19" s="14"/>
    </row>
    <row r="20" spans="1:6" ht="15.75" x14ac:dyDescent="0.25">
      <c r="A20" s="10"/>
      <c r="B20" s="15"/>
      <c r="C20" s="16"/>
      <c r="D20" s="17"/>
      <c r="E20" s="13"/>
      <c r="F20" s="14"/>
    </row>
    <row r="21" spans="1:6" ht="15.75" x14ac:dyDescent="0.25">
      <c r="A21" s="10"/>
      <c r="B21" s="15"/>
      <c r="C21" s="16"/>
      <c r="D21" s="17"/>
      <c r="E21" s="13"/>
      <c r="F21" s="14"/>
    </row>
    <row r="22" spans="1:6" ht="15.75" x14ac:dyDescent="0.25">
      <c r="A22" s="10"/>
      <c r="B22" s="15"/>
      <c r="C22" s="16"/>
      <c r="D22" s="17"/>
      <c r="E22" s="13"/>
      <c r="F22" s="14"/>
    </row>
    <row r="23" spans="1:6" ht="15.75" x14ac:dyDescent="0.25">
      <c r="A23" s="10"/>
      <c r="B23" s="15"/>
      <c r="C23" s="16"/>
      <c r="D23" s="17"/>
      <c r="E23" s="13"/>
      <c r="F23" s="14"/>
    </row>
    <row r="24" spans="1:6" ht="15.75" x14ac:dyDescent="0.25">
      <c r="A24" s="10"/>
      <c r="B24" s="15"/>
      <c r="C24" s="16"/>
      <c r="D24" s="17"/>
      <c r="E24" s="13"/>
      <c r="F24" s="14"/>
    </row>
    <row r="25" spans="1:6" ht="15.75" x14ac:dyDescent="0.25">
      <c r="A25" s="10"/>
      <c r="B25" s="15"/>
      <c r="C25" s="16"/>
      <c r="D25" s="17"/>
      <c r="E25" s="13"/>
      <c r="F25" s="14"/>
    </row>
    <row r="26" spans="1:6" ht="15.75" x14ac:dyDescent="0.25">
      <c r="A26" s="10"/>
      <c r="B26" s="15"/>
      <c r="C26" s="16"/>
      <c r="D26" s="17"/>
      <c r="E26" s="13"/>
      <c r="F26" s="14"/>
    </row>
    <row r="27" spans="1:6" ht="15.75" x14ac:dyDescent="0.25">
      <c r="A27" s="10"/>
      <c r="B27" s="15"/>
      <c r="C27" s="16"/>
      <c r="D27" s="17"/>
      <c r="E27" s="13"/>
      <c r="F27" s="14"/>
    </row>
    <row r="28" spans="1:6" ht="15.75" x14ac:dyDescent="0.25">
      <c r="A28" s="10"/>
      <c r="B28" s="15"/>
      <c r="C28" s="16"/>
      <c r="D28" s="17"/>
      <c r="E28" s="13"/>
      <c r="F28" s="14"/>
    </row>
    <row r="29" spans="1:6" ht="15.75" x14ac:dyDescent="0.25">
      <c r="A29" s="10"/>
      <c r="B29" s="15"/>
      <c r="C29" s="16"/>
      <c r="D29" s="17"/>
      <c r="E29" s="13"/>
      <c r="F29" s="14"/>
    </row>
    <row r="30" spans="1:6" ht="15.75" x14ac:dyDescent="0.25">
      <c r="A30" s="10"/>
      <c r="B30" s="15"/>
      <c r="C30" s="16"/>
      <c r="D30" s="17"/>
      <c r="E30" s="13"/>
      <c r="F30" s="14"/>
    </row>
    <row r="31" spans="1:6" ht="15.75" x14ac:dyDescent="0.25">
      <c r="A31" s="5"/>
      <c r="B31" s="18"/>
      <c r="C31" s="19"/>
      <c r="D31" s="14"/>
      <c r="E31" s="8"/>
      <c r="F31" s="14"/>
    </row>
    <row r="32" spans="1:6" ht="15.75" x14ac:dyDescent="0.25">
      <c r="A32" s="5"/>
      <c r="B32" s="18"/>
      <c r="C32" s="19"/>
      <c r="D32" s="14"/>
      <c r="E32" s="8"/>
      <c r="F32" s="14"/>
    </row>
    <row r="33" spans="3:6" ht="15.75" x14ac:dyDescent="0.25">
      <c r="C33" s="20"/>
      <c r="D33" s="21"/>
      <c r="E33" s="21"/>
      <c r="F33" s="21"/>
    </row>
    <row r="34" spans="3:6" ht="16.5" thickBot="1" x14ac:dyDescent="0.3">
      <c r="C34" s="20"/>
      <c r="D34" s="22">
        <f>SUM(D5:D33)</f>
        <v>0</v>
      </c>
      <c r="E34" s="22">
        <f>SUM(E5:E33)</f>
        <v>0</v>
      </c>
      <c r="F34" s="23">
        <f>F5+D34-E34</f>
        <v>0</v>
      </c>
    </row>
    <row r="35" spans="3:6" ht="15.75" thickTop="1" x14ac:dyDescent="0.25"/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topLeftCell="A4" workbookViewId="0">
      <selection activeCell="A6" sqref="A6:E8"/>
    </sheetView>
  </sheetViews>
  <sheetFormatPr defaultRowHeight="15" x14ac:dyDescent="0.25"/>
  <cols>
    <col min="1" max="1" width="9.28515625" customWidth="1"/>
    <col min="2" max="2" width="39" customWidth="1"/>
    <col min="3" max="3" width="13.7109375" customWidth="1"/>
    <col min="4" max="6" width="17.28515625" customWidth="1"/>
    <col min="7" max="7" width="1.7109375" customWidth="1"/>
    <col min="8" max="8" width="19.7109375" bestFit="1" customWidth="1"/>
  </cols>
  <sheetData>
    <row r="1" spans="1:8" ht="35.25" x14ac:dyDescent="0.5">
      <c r="A1" s="37" t="s">
        <v>42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18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46204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</row>
    <row r="6" spans="1:8" ht="15.75" x14ac:dyDescent="0.25">
      <c r="A6" s="10"/>
      <c r="B6" s="11"/>
      <c r="C6" s="12"/>
      <c r="D6" s="17"/>
      <c r="E6" s="13"/>
      <c r="F6" s="24">
        <f>F5-D6+E6</f>
        <v>0</v>
      </c>
      <c r="H6" t="s">
        <v>19</v>
      </c>
    </row>
    <row r="7" spans="1:8" ht="15.75" x14ac:dyDescent="0.25">
      <c r="A7" s="10"/>
      <c r="B7" s="11"/>
      <c r="C7" s="12"/>
      <c r="D7" s="17"/>
      <c r="E7" s="13"/>
      <c r="F7" s="24">
        <f>F6-D7+E7</f>
        <v>0</v>
      </c>
      <c r="H7" t="s">
        <v>20</v>
      </c>
    </row>
    <row r="8" spans="1:8" ht="15.75" x14ac:dyDescent="0.25">
      <c r="A8" s="10"/>
      <c r="B8" s="11"/>
      <c r="C8" s="12"/>
      <c r="D8" s="17"/>
      <c r="E8" s="13"/>
      <c r="F8" s="24">
        <f>F7-D8+E8</f>
        <v>0</v>
      </c>
      <c r="H8" t="s">
        <v>21</v>
      </c>
    </row>
    <row r="9" spans="1:8" ht="15.75" x14ac:dyDescent="0.25">
      <c r="A9" s="10"/>
      <c r="B9" s="15"/>
      <c r="C9" s="16"/>
      <c r="D9" s="17"/>
      <c r="E9" s="13"/>
      <c r="F9" s="14"/>
      <c r="H9" t="s">
        <v>22</v>
      </c>
    </row>
    <row r="10" spans="1:8" ht="15.75" x14ac:dyDescent="0.25">
      <c r="A10" s="10"/>
      <c r="B10" s="15"/>
      <c r="C10" s="16"/>
      <c r="D10" s="17"/>
      <c r="E10" s="13"/>
      <c r="F10" s="14"/>
      <c r="H10" t="s">
        <v>29</v>
      </c>
    </row>
    <row r="11" spans="1:8" ht="15.75" x14ac:dyDescent="0.25">
      <c r="A11" s="10"/>
      <c r="B11" s="15"/>
      <c r="C11" s="16"/>
      <c r="D11" s="17"/>
      <c r="E11" s="13"/>
      <c r="F11" s="14"/>
      <c r="H11" t="s">
        <v>30</v>
      </c>
    </row>
    <row r="12" spans="1:8" ht="15.75" x14ac:dyDescent="0.25">
      <c r="A12" s="10"/>
      <c r="B12" s="15"/>
      <c r="C12" s="16"/>
      <c r="D12" s="17"/>
      <c r="E12" s="13"/>
      <c r="F12" s="14"/>
      <c r="H12" t="s">
        <v>23</v>
      </c>
    </row>
    <row r="13" spans="1:8" ht="15.75" x14ac:dyDescent="0.25">
      <c r="A13" s="10"/>
      <c r="B13" s="15"/>
      <c r="C13" s="16"/>
      <c r="D13" s="17"/>
      <c r="E13" s="13"/>
      <c r="F13" s="14"/>
      <c r="H13" t="s">
        <v>24</v>
      </c>
    </row>
    <row r="14" spans="1:8" ht="15.75" x14ac:dyDescent="0.25">
      <c r="A14" s="10"/>
      <c r="B14" s="15"/>
      <c r="C14" s="16"/>
      <c r="D14" s="17"/>
      <c r="E14" s="13"/>
      <c r="F14" s="14"/>
      <c r="H14" t="s">
        <v>25</v>
      </c>
    </row>
    <row r="15" spans="1:8" ht="15.75" x14ac:dyDescent="0.25">
      <c r="A15" s="10"/>
      <c r="B15" s="15"/>
      <c r="C15" s="16"/>
      <c r="D15" s="17"/>
      <c r="E15" s="13"/>
      <c r="F15" s="14"/>
      <c r="H15" t="s">
        <v>26</v>
      </c>
    </row>
    <row r="16" spans="1:8" ht="15.75" x14ac:dyDescent="0.25">
      <c r="A16" s="10"/>
      <c r="B16" s="15"/>
      <c r="C16" s="16"/>
      <c r="D16" s="17"/>
      <c r="E16" s="13"/>
      <c r="F16" s="14"/>
      <c r="H16" t="s">
        <v>27</v>
      </c>
    </row>
    <row r="17" spans="1:8" ht="15.75" x14ac:dyDescent="0.25">
      <c r="A17" s="10"/>
      <c r="B17" s="15"/>
      <c r="C17" s="16"/>
      <c r="D17" s="17"/>
      <c r="E17" s="13"/>
      <c r="F17" s="14"/>
      <c r="H17" t="s">
        <v>28</v>
      </c>
    </row>
    <row r="18" spans="1:8" ht="15.75" x14ac:dyDescent="0.25">
      <c r="A18" s="10"/>
      <c r="B18" s="15"/>
      <c r="C18" s="16"/>
      <c r="D18" s="17"/>
      <c r="E18" s="13"/>
      <c r="F18" s="14"/>
      <c r="H18" t="s">
        <v>52</v>
      </c>
    </row>
    <row r="19" spans="1:8" ht="15.75" x14ac:dyDescent="0.25">
      <c r="A19" s="10"/>
      <c r="B19" s="15"/>
      <c r="C19" s="16"/>
      <c r="D19" s="17"/>
      <c r="E19" s="13"/>
      <c r="F19" s="14"/>
      <c r="H19" t="s">
        <v>53</v>
      </c>
    </row>
    <row r="20" spans="1:8" ht="15.75" x14ac:dyDescent="0.25">
      <c r="A20" s="10"/>
      <c r="B20" s="15"/>
      <c r="C20" s="16"/>
      <c r="D20" s="17"/>
      <c r="E20" s="13"/>
      <c r="F20" s="14"/>
    </row>
    <row r="21" spans="1:8" ht="15.75" x14ac:dyDescent="0.25">
      <c r="A21" s="10"/>
      <c r="B21" s="15"/>
      <c r="C21" s="16"/>
      <c r="D21" s="17"/>
      <c r="E21" s="13"/>
      <c r="F21" s="14"/>
    </row>
    <row r="22" spans="1:8" ht="15.75" x14ac:dyDescent="0.25">
      <c r="A22" s="10"/>
      <c r="B22" s="15"/>
      <c r="C22" s="16"/>
      <c r="D22" s="17"/>
      <c r="E22" s="13"/>
      <c r="F22" s="14"/>
    </row>
    <row r="23" spans="1:8" ht="15.75" x14ac:dyDescent="0.25">
      <c r="A23" s="10"/>
      <c r="B23" s="15"/>
      <c r="C23" s="16"/>
      <c r="D23" s="17"/>
      <c r="E23" s="13"/>
      <c r="F23" s="14"/>
    </row>
    <row r="24" spans="1:8" ht="15.75" x14ac:dyDescent="0.25">
      <c r="A24" s="10"/>
      <c r="B24" s="15"/>
      <c r="C24" s="16"/>
      <c r="D24" s="17"/>
      <c r="E24" s="13"/>
      <c r="F24" s="14"/>
    </row>
    <row r="25" spans="1:8" ht="15.75" x14ac:dyDescent="0.25">
      <c r="A25" s="10"/>
      <c r="B25" s="15"/>
      <c r="C25" s="16"/>
      <c r="D25" s="17"/>
      <c r="E25" s="13"/>
      <c r="F25" s="14"/>
    </row>
    <row r="26" spans="1:8" ht="15.75" x14ac:dyDescent="0.25">
      <c r="A26" s="10"/>
      <c r="B26" s="15"/>
      <c r="C26" s="16"/>
      <c r="D26" s="17"/>
      <c r="E26" s="13"/>
      <c r="F26" s="14"/>
    </row>
    <row r="27" spans="1:8" ht="15.75" x14ac:dyDescent="0.25">
      <c r="A27" s="10"/>
      <c r="B27" s="15"/>
      <c r="C27" s="16"/>
      <c r="D27" s="17"/>
      <c r="E27" s="13"/>
      <c r="F27" s="14"/>
    </row>
    <row r="28" spans="1:8" ht="15.75" x14ac:dyDescent="0.25">
      <c r="A28" s="10"/>
      <c r="B28" s="15"/>
      <c r="C28" s="16"/>
      <c r="D28" s="17"/>
      <c r="E28" s="13"/>
      <c r="F28" s="14"/>
    </row>
    <row r="29" spans="1:8" ht="15.75" x14ac:dyDescent="0.25">
      <c r="A29" s="10"/>
      <c r="B29" s="15"/>
      <c r="C29" s="16"/>
      <c r="D29" s="17"/>
      <c r="E29" s="13"/>
      <c r="F29" s="14"/>
    </row>
    <row r="30" spans="1:8" ht="15.75" x14ac:dyDescent="0.25">
      <c r="A30" s="10"/>
      <c r="B30" s="15"/>
      <c r="C30" s="16"/>
      <c r="D30" s="17"/>
      <c r="E30" s="13"/>
      <c r="F30" s="14"/>
    </row>
    <row r="31" spans="1:8" ht="15.75" x14ac:dyDescent="0.25">
      <c r="A31" s="5"/>
      <c r="B31" s="18"/>
      <c r="C31" s="19"/>
      <c r="D31" s="14"/>
      <c r="E31" s="8"/>
      <c r="F31" s="14"/>
    </row>
    <row r="32" spans="1:8" ht="15.75" x14ac:dyDescent="0.25">
      <c r="A32" s="5"/>
      <c r="B32" s="18"/>
      <c r="C32" s="19"/>
      <c r="D32" s="14"/>
      <c r="E32" s="8"/>
      <c r="F32" s="14"/>
    </row>
    <row r="33" spans="3:6" ht="15.75" x14ac:dyDescent="0.25">
      <c r="C33" s="20"/>
      <c r="D33" s="21"/>
      <c r="E33" s="21"/>
      <c r="F33" s="21"/>
    </row>
    <row r="34" spans="3:6" ht="16.5" thickBot="1" x14ac:dyDescent="0.3">
      <c r="C34" s="20"/>
      <c r="D34" s="22">
        <f>SUM(D5:D33)</f>
        <v>0</v>
      </c>
      <c r="E34" s="22">
        <f>SUM(E5:E33)</f>
        <v>0</v>
      </c>
      <c r="F34" s="23">
        <f>F5+D34-E34</f>
        <v>0</v>
      </c>
    </row>
    <row r="35" spans="3:6" ht="15.75" thickTop="1" x14ac:dyDescent="0.25"/>
  </sheetData>
  <mergeCells count="2">
    <mergeCell ref="A1:F1"/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zoomScaleNormal="110" workbookViewId="0">
      <selection activeCell="D6" sqref="D6:E24"/>
    </sheetView>
  </sheetViews>
  <sheetFormatPr defaultRowHeight="15" x14ac:dyDescent="0.25"/>
  <cols>
    <col min="1" max="1" width="9.7109375" customWidth="1"/>
    <col min="2" max="2" width="43.7109375" bestFit="1" customWidth="1"/>
    <col min="3" max="3" width="19.5703125" bestFit="1" customWidth="1"/>
    <col min="4" max="6" width="17.28515625" customWidth="1"/>
    <col min="7" max="7" width="1.7109375" customWidth="1"/>
    <col min="8" max="8" width="19.7109375" bestFit="1" customWidth="1"/>
  </cols>
  <sheetData>
    <row r="1" spans="1:8" ht="35.25" x14ac:dyDescent="0.5">
      <c r="A1" s="37" t="s">
        <v>42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86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46235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  <c r="H5" s="26" t="s">
        <v>64</v>
      </c>
    </row>
    <row r="6" spans="1:8" ht="15.75" x14ac:dyDescent="0.25">
      <c r="A6" s="5">
        <v>46235</v>
      </c>
      <c r="B6" s="15" t="s">
        <v>104</v>
      </c>
      <c r="C6" s="16" t="s">
        <v>83</v>
      </c>
      <c r="D6" s="17">
        <v>0</v>
      </c>
      <c r="E6" s="13">
        <v>0</v>
      </c>
      <c r="F6" s="24">
        <f>F5-D6+E6</f>
        <v>0</v>
      </c>
      <c r="H6" t="s">
        <v>65</v>
      </c>
    </row>
    <row r="7" spans="1:8" ht="15.75" x14ac:dyDescent="0.25">
      <c r="A7" s="5">
        <v>46235</v>
      </c>
      <c r="B7" s="15" t="s">
        <v>105</v>
      </c>
      <c r="C7" s="16" t="s">
        <v>80</v>
      </c>
      <c r="D7" s="17">
        <v>0</v>
      </c>
      <c r="E7" s="13">
        <v>0</v>
      </c>
      <c r="F7" s="24">
        <f t="shared" ref="F7:F24" si="0">F6-D7+E7</f>
        <v>0</v>
      </c>
      <c r="H7" t="s">
        <v>66</v>
      </c>
    </row>
    <row r="8" spans="1:8" ht="15.75" x14ac:dyDescent="0.25">
      <c r="A8" s="5">
        <v>46235</v>
      </c>
      <c r="B8" s="15" t="s">
        <v>107</v>
      </c>
      <c r="C8" s="16" t="s">
        <v>96</v>
      </c>
      <c r="D8" s="17">
        <v>0</v>
      </c>
      <c r="E8" s="13">
        <v>0</v>
      </c>
      <c r="F8" s="24">
        <f t="shared" si="0"/>
        <v>0</v>
      </c>
      <c r="H8" t="s">
        <v>67</v>
      </c>
    </row>
    <row r="9" spans="1:8" ht="15.75" x14ac:dyDescent="0.25">
      <c r="A9" s="5">
        <v>46235</v>
      </c>
      <c r="B9" s="15" t="s">
        <v>106</v>
      </c>
      <c r="C9" s="16" t="s">
        <v>82</v>
      </c>
      <c r="D9" s="17">
        <v>0</v>
      </c>
      <c r="E9" s="13">
        <v>0</v>
      </c>
      <c r="F9" s="24">
        <f t="shared" si="0"/>
        <v>0</v>
      </c>
      <c r="H9" t="s">
        <v>68</v>
      </c>
    </row>
    <row r="10" spans="1:8" ht="15.75" x14ac:dyDescent="0.25">
      <c r="A10" s="5">
        <v>46235</v>
      </c>
      <c r="B10" s="15" t="s">
        <v>108</v>
      </c>
      <c r="C10" s="16" t="s">
        <v>83</v>
      </c>
      <c r="D10" s="17">
        <v>0</v>
      </c>
      <c r="E10" s="13">
        <v>0</v>
      </c>
      <c r="F10" s="24">
        <f t="shared" si="0"/>
        <v>0</v>
      </c>
      <c r="H10" t="s">
        <v>69</v>
      </c>
    </row>
    <row r="11" spans="1:8" ht="15.75" x14ac:dyDescent="0.25">
      <c r="A11" s="5">
        <v>46235</v>
      </c>
      <c r="B11" s="11" t="s">
        <v>109</v>
      </c>
      <c r="C11" s="12" t="s">
        <v>52</v>
      </c>
      <c r="D11" s="17">
        <v>0</v>
      </c>
      <c r="E11" s="13">
        <v>0</v>
      </c>
      <c r="F11" s="24">
        <f t="shared" si="0"/>
        <v>0</v>
      </c>
      <c r="H11" t="s">
        <v>70</v>
      </c>
    </row>
    <row r="12" spans="1:8" ht="15.75" x14ac:dyDescent="0.25">
      <c r="A12" s="5">
        <v>46239</v>
      </c>
      <c r="B12" s="15" t="s">
        <v>100</v>
      </c>
      <c r="C12" s="34" t="s">
        <v>83</v>
      </c>
      <c r="D12" s="17">
        <v>0</v>
      </c>
      <c r="E12" s="13">
        <v>0</v>
      </c>
      <c r="F12" s="24">
        <f t="shared" si="0"/>
        <v>0</v>
      </c>
      <c r="H12" t="s">
        <v>71</v>
      </c>
    </row>
    <row r="13" spans="1:8" ht="15.75" x14ac:dyDescent="0.25">
      <c r="A13" s="5">
        <v>46239</v>
      </c>
      <c r="B13" s="15" t="s">
        <v>119</v>
      </c>
      <c r="C13" s="16" t="s">
        <v>80</v>
      </c>
      <c r="D13" s="17">
        <v>0</v>
      </c>
      <c r="E13" s="13">
        <v>0</v>
      </c>
      <c r="F13" s="24">
        <f t="shared" si="0"/>
        <v>0</v>
      </c>
      <c r="H13" t="s">
        <v>72</v>
      </c>
    </row>
    <row r="14" spans="1:8" ht="15.75" x14ac:dyDescent="0.25">
      <c r="A14" s="5">
        <v>46239</v>
      </c>
      <c r="B14" s="15" t="s">
        <v>120</v>
      </c>
      <c r="C14" s="16" t="s">
        <v>83</v>
      </c>
      <c r="D14" s="17">
        <v>0</v>
      </c>
      <c r="E14" s="13">
        <v>0</v>
      </c>
      <c r="F14" s="24">
        <f t="shared" si="0"/>
        <v>0</v>
      </c>
      <c r="H14" t="s">
        <v>73</v>
      </c>
    </row>
    <row r="15" spans="1:8" ht="15.75" x14ac:dyDescent="0.25">
      <c r="A15" s="5">
        <v>46239</v>
      </c>
      <c r="B15" s="11" t="s">
        <v>109</v>
      </c>
      <c r="C15" s="12" t="s">
        <v>52</v>
      </c>
      <c r="D15" s="17">
        <v>0</v>
      </c>
      <c r="E15" s="13">
        <v>0</v>
      </c>
      <c r="F15" s="24">
        <f t="shared" si="0"/>
        <v>0</v>
      </c>
      <c r="H15" t="s">
        <v>74</v>
      </c>
    </row>
    <row r="16" spans="1:8" ht="15.75" x14ac:dyDescent="0.25">
      <c r="A16" s="5">
        <v>46242</v>
      </c>
      <c r="B16" s="15" t="s">
        <v>121</v>
      </c>
      <c r="C16" s="16" t="s">
        <v>84</v>
      </c>
      <c r="D16" s="17">
        <v>0</v>
      </c>
      <c r="E16" s="13">
        <v>0</v>
      </c>
      <c r="F16" s="24">
        <f t="shared" si="0"/>
        <v>0</v>
      </c>
      <c r="H16" t="s">
        <v>84</v>
      </c>
    </row>
    <row r="17" spans="1:8" ht="15.75" x14ac:dyDescent="0.25">
      <c r="A17" s="5">
        <v>46242</v>
      </c>
      <c r="B17" s="15" t="s">
        <v>107</v>
      </c>
      <c r="C17" s="16" t="s">
        <v>96</v>
      </c>
      <c r="D17" s="17">
        <v>0</v>
      </c>
      <c r="E17" s="13">
        <v>0</v>
      </c>
      <c r="F17" s="24">
        <f t="shared" si="0"/>
        <v>0</v>
      </c>
      <c r="H17" t="s">
        <v>85</v>
      </c>
    </row>
    <row r="18" spans="1:8" ht="15.75" x14ac:dyDescent="0.25">
      <c r="A18" s="5">
        <v>46242</v>
      </c>
      <c r="B18" s="15" t="s">
        <v>122</v>
      </c>
      <c r="C18" s="16" t="s">
        <v>96</v>
      </c>
      <c r="D18" s="17">
        <v>0</v>
      </c>
      <c r="E18" s="13">
        <v>0</v>
      </c>
      <c r="F18" s="24">
        <f t="shared" si="0"/>
        <v>0</v>
      </c>
      <c r="H18" t="s">
        <v>78</v>
      </c>
    </row>
    <row r="19" spans="1:8" ht="15.75" x14ac:dyDescent="0.25">
      <c r="A19" s="5">
        <v>46242</v>
      </c>
      <c r="B19" s="11" t="s">
        <v>109</v>
      </c>
      <c r="C19" s="12" t="s">
        <v>52</v>
      </c>
      <c r="D19" s="17">
        <v>0</v>
      </c>
      <c r="E19" s="13">
        <v>0</v>
      </c>
      <c r="F19" s="24">
        <f t="shared" si="0"/>
        <v>0</v>
      </c>
      <c r="H19" t="s">
        <v>75</v>
      </c>
    </row>
    <row r="20" spans="1:8" ht="15.75" x14ac:dyDescent="0.25">
      <c r="A20" s="5">
        <v>46244</v>
      </c>
      <c r="B20" s="15" t="s">
        <v>123</v>
      </c>
      <c r="C20" s="16" t="s">
        <v>79</v>
      </c>
      <c r="D20" s="17">
        <v>0</v>
      </c>
      <c r="E20" s="13">
        <v>0</v>
      </c>
      <c r="F20" s="24">
        <f t="shared" si="0"/>
        <v>0</v>
      </c>
      <c r="H20" t="s">
        <v>76</v>
      </c>
    </row>
    <row r="21" spans="1:8" ht="15.75" x14ac:dyDescent="0.25">
      <c r="A21" s="5">
        <v>46244</v>
      </c>
      <c r="B21" s="11" t="s">
        <v>109</v>
      </c>
      <c r="C21" s="12" t="s">
        <v>52</v>
      </c>
      <c r="D21" s="17">
        <v>0</v>
      </c>
      <c r="E21" s="13">
        <v>0</v>
      </c>
      <c r="F21" s="24">
        <f t="shared" si="0"/>
        <v>0</v>
      </c>
      <c r="H21" t="s">
        <v>77</v>
      </c>
    </row>
    <row r="22" spans="1:8" ht="15.75" x14ac:dyDescent="0.25">
      <c r="A22" s="5">
        <v>46245</v>
      </c>
      <c r="B22" s="15" t="s">
        <v>139</v>
      </c>
      <c r="C22" s="16" t="s">
        <v>80</v>
      </c>
      <c r="D22" s="17">
        <v>0</v>
      </c>
      <c r="E22" s="13">
        <v>0</v>
      </c>
      <c r="F22" s="24">
        <f t="shared" si="0"/>
        <v>0</v>
      </c>
      <c r="H22" t="s">
        <v>79</v>
      </c>
    </row>
    <row r="23" spans="1:8" ht="15.75" x14ac:dyDescent="0.25">
      <c r="A23" s="5">
        <v>46245</v>
      </c>
      <c r="B23" s="15" t="s">
        <v>140</v>
      </c>
      <c r="C23" s="16" t="s">
        <v>75</v>
      </c>
      <c r="D23" s="17">
        <v>0</v>
      </c>
      <c r="E23" s="13">
        <v>0</v>
      </c>
      <c r="F23" s="24">
        <f t="shared" si="0"/>
        <v>0</v>
      </c>
      <c r="H23" t="s">
        <v>80</v>
      </c>
    </row>
    <row r="24" spans="1:8" ht="15.75" x14ac:dyDescent="0.25">
      <c r="A24" s="5">
        <v>46245</v>
      </c>
      <c r="B24" s="11" t="s">
        <v>109</v>
      </c>
      <c r="C24" s="12" t="s">
        <v>52</v>
      </c>
      <c r="D24" s="17">
        <v>0</v>
      </c>
      <c r="E24" s="13">
        <v>0</v>
      </c>
      <c r="F24" s="24">
        <f t="shared" si="0"/>
        <v>0</v>
      </c>
      <c r="H24" t="s">
        <v>81</v>
      </c>
    </row>
    <row r="25" spans="1:8" ht="15.75" x14ac:dyDescent="0.25">
      <c r="A25" s="10"/>
      <c r="B25" s="15"/>
      <c r="C25" s="16"/>
      <c r="D25" s="17"/>
      <c r="E25" s="13"/>
      <c r="F25" s="24"/>
      <c r="H25" t="s">
        <v>82</v>
      </c>
    </row>
    <row r="26" spans="1:8" ht="15.75" x14ac:dyDescent="0.25">
      <c r="A26" s="10"/>
      <c r="B26" s="15"/>
      <c r="C26" s="16"/>
      <c r="D26" s="17"/>
      <c r="E26" s="13"/>
      <c r="F26" s="24"/>
      <c r="H26" t="s">
        <v>83</v>
      </c>
    </row>
    <row r="27" spans="1:8" ht="15.75" x14ac:dyDescent="0.25">
      <c r="A27" s="10"/>
      <c r="B27" s="15"/>
      <c r="C27" s="16"/>
      <c r="D27" s="17"/>
      <c r="E27" s="13"/>
      <c r="F27" s="24"/>
      <c r="H27" t="s">
        <v>95</v>
      </c>
    </row>
    <row r="28" spans="1:8" ht="15.75" x14ac:dyDescent="0.25">
      <c r="A28" s="10"/>
      <c r="B28" s="15"/>
      <c r="C28" s="16"/>
      <c r="D28" s="17"/>
      <c r="E28" s="13"/>
      <c r="F28" s="14"/>
      <c r="H28" t="s">
        <v>96</v>
      </c>
    </row>
    <row r="29" spans="1:8" ht="15.75" x14ac:dyDescent="0.25">
      <c r="A29" s="5"/>
      <c r="B29" s="18"/>
      <c r="C29" s="19"/>
      <c r="D29" s="14"/>
      <c r="E29" s="8"/>
      <c r="F29" s="14"/>
    </row>
    <row r="30" spans="1:8" ht="15.75" x14ac:dyDescent="0.25">
      <c r="C30" s="20"/>
      <c r="D30" s="21"/>
      <c r="E30" s="21"/>
      <c r="F30" s="21"/>
    </row>
    <row r="31" spans="1:8" ht="16.5" thickBot="1" x14ac:dyDescent="0.3">
      <c r="C31" s="20"/>
      <c r="D31" s="22">
        <f>SUM(D5:D30)</f>
        <v>0</v>
      </c>
      <c r="E31" s="22">
        <f>SUM(E5:E30)</f>
        <v>0</v>
      </c>
      <c r="F31" s="23">
        <f>F5+D31-E31</f>
        <v>0</v>
      </c>
    </row>
    <row r="32" spans="1:8" ht="15.75" thickTop="1" x14ac:dyDescent="0.25"/>
  </sheetData>
  <mergeCells count="2">
    <mergeCell ref="A1:F1"/>
    <mergeCell ref="A2:F2"/>
  </mergeCells>
  <pageMargins left="0.58333333333333337" right="0.55208333333333337" top="0.75" bottom="0.75" header="0.3" footer="0.3"/>
  <pageSetup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5"/>
  <sheetViews>
    <sheetView zoomScaleNormal="110" workbookViewId="0">
      <selection activeCell="D6" sqref="D6"/>
    </sheetView>
  </sheetViews>
  <sheetFormatPr defaultRowHeight="15" x14ac:dyDescent="0.25"/>
  <cols>
    <col min="1" max="1" width="9.28515625" customWidth="1"/>
    <col min="2" max="2" width="43.7109375" bestFit="1" customWidth="1"/>
    <col min="3" max="3" width="15" bestFit="1" customWidth="1"/>
    <col min="4" max="6" width="17.28515625" customWidth="1"/>
    <col min="7" max="7" width="1.7109375" customWidth="1"/>
    <col min="8" max="8" width="19.7109375" bestFit="1" customWidth="1"/>
  </cols>
  <sheetData>
    <row r="1" spans="1:8" ht="35.25" x14ac:dyDescent="0.5">
      <c r="A1" s="37" t="s">
        <v>42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115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46235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  <c r="H5" s="26" t="s">
        <v>64</v>
      </c>
    </row>
    <row r="6" spans="1:8" ht="15.75" x14ac:dyDescent="0.25">
      <c r="A6" s="5">
        <v>46242</v>
      </c>
      <c r="B6" s="15" t="s">
        <v>118</v>
      </c>
      <c r="C6" t="s">
        <v>80</v>
      </c>
      <c r="D6" s="17">
        <v>2730</v>
      </c>
      <c r="E6" s="13">
        <v>0</v>
      </c>
      <c r="F6" s="24">
        <f>F5-D6+E6</f>
        <v>-2730</v>
      </c>
      <c r="H6" t="s">
        <v>65</v>
      </c>
    </row>
    <row r="7" spans="1:8" ht="15.75" x14ac:dyDescent="0.25">
      <c r="A7" s="5">
        <v>46242</v>
      </c>
      <c r="B7" s="11" t="s">
        <v>109</v>
      </c>
      <c r="C7" s="12" t="s">
        <v>52</v>
      </c>
      <c r="D7" s="17">
        <v>0</v>
      </c>
      <c r="E7" s="13">
        <v>2730</v>
      </c>
      <c r="F7" s="24">
        <f t="shared" ref="F7:F27" si="0">F6-D7+E7</f>
        <v>0</v>
      </c>
      <c r="H7" t="s">
        <v>66</v>
      </c>
    </row>
    <row r="8" spans="1:8" ht="15.75" x14ac:dyDescent="0.25">
      <c r="A8" s="10"/>
      <c r="B8" s="15"/>
      <c r="C8" s="16"/>
      <c r="D8" s="17"/>
      <c r="E8" s="13"/>
      <c r="F8" s="24">
        <f t="shared" si="0"/>
        <v>0</v>
      </c>
      <c r="H8" t="s">
        <v>67</v>
      </c>
    </row>
    <row r="9" spans="1:8" ht="15.75" x14ac:dyDescent="0.25">
      <c r="A9" s="10"/>
      <c r="B9" s="15"/>
      <c r="C9" s="16"/>
      <c r="D9" s="17"/>
      <c r="E9" s="13"/>
      <c r="F9" s="24">
        <f t="shared" si="0"/>
        <v>0</v>
      </c>
      <c r="H9" t="s">
        <v>68</v>
      </c>
    </row>
    <row r="10" spans="1:8" ht="15.75" x14ac:dyDescent="0.25">
      <c r="A10" s="10"/>
      <c r="B10" s="15"/>
      <c r="C10" s="16"/>
      <c r="D10" s="17"/>
      <c r="E10" s="13"/>
      <c r="F10" s="24">
        <f t="shared" si="0"/>
        <v>0</v>
      </c>
      <c r="H10" t="s">
        <v>69</v>
      </c>
    </row>
    <row r="11" spans="1:8" ht="15.75" x14ac:dyDescent="0.25">
      <c r="A11" s="10"/>
      <c r="B11" s="11"/>
      <c r="C11" s="12"/>
      <c r="D11" s="17"/>
      <c r="E11" s="13"/>
      <c r="F11" s="24">
        <f t="shared" si="0"/>
        <v>0</v>
      </c>
      <c r="H11" t="s">
        <v>70</v>
      </c>
    </row>
    <row r="12" spans="1:8" ht="15.75" x14ac:dyDescent="0.25">
      <c r="A12" s="10"/>
      <c r="B12" s="15"/>
      <c r="C12" s="16"/>
      <c r="D12" s="17"/>
      <c r="E12" s="13"/>
      <c r="F12" s="24">
        <f t="shared" si="0"/>
        <v>0</v>
      </c>
      <c r="H12" t="s">
        <v>71</v>
      </c>
    </row>
    <row r="13" spans="1:8" ht="15.75" x14ac:dyDescent="0.25">
      <c r="A13" s="10"/>
      <c r="B13" s="15"/>
      <c r="C13" s="16"/>
      <c r="D13" s="17"/>
      <c r="E13" s="13"/>
      <c r="F13" s="24">
        <f t="shared" si="0"/>
        <v>0</v>
      </c>
      <c r="H13" t="s">
        <v>72</v>
      </c>
    </row>
    <row r="14" spans="1:8" ht="15.75" x14ac:dyDescent="0.25">
      <c r="A14" s="10"/>
      <c r="B14" s="11"/>
      <c r="C14" s="12"/>
      <c r="D14" s="17"/>
      <c r="E14" s="13"/>
      <c r="F14" s="24">
        <f t="shared" si="0"/>
        <v>0</v>
      </c>
      <c r="H14" t="s">
        <v>73</v>
      </c>
    </row>
    <row r="15" spans="1:8" ht="15.75" x14ac:dyDescent="0.25">
      <c r="A15" s="10"/>
      <c r="B15" s="15"/>
      <c r="C15" s="34"/>
      <c r="D15" s="17"/>
      <c r="E15" s="13"/>
      <c r="F15" s="24">
        <f t="shared" si="0"/>
        <v>0</v>
      </c>
      <c r="H15" t="s">
        <v>74</v>
      </c>
    </row>
    <row r="16" spans="1:8" ht="15.75" x14ac:dyDescent="0.25">
      <c r="A16" s="10"/>
      <c r="B16" s="15"/>
      <c r="C16" s="34"/>
      <c r="D16" s="17"/>
      <c r="E16" s="13"/>
      <c r="F16" s="24">
        <f t="shared" si="0"/>
        <v>0</v>
      </c>
      <c r="H16" t="s">
        <v>84</v>
      </c>
    </row>
    <row r="17" spans="1:8" ht="15.75" x14ac:dyDescent="0.25">
      <c r="A17" s="10"/>
      <c r="B17" s="15"/>
      <c r="C17" s="34"/>
      <c r="D17" s="17"/>
      <c r="E17" s="13"/>
      <c r="F17" s="24">
        <f t="shared" si="0"/>
        <v>0</v>
      </c>
      <c r="H17" t="s">
        <v>85</v>
      </c>
    </row>
    <row r="18" spans="1:8" ht="15.75" x14ac:dyDescent="0.25">
      <c r="A18" s="10"/>
      <c r="B18" s="15"/>
      <c r="C18" s="34"/>
      <c r="D18" s="17"/>
      <c r="E18" s="13"/>
      <c r="F18" s="24">
        <f t="shared" si="0"/>
        <v>0</v>
      </c>
      <c r="H18" t="s">
        <v>78</v>
      </c>
    </row>
    <row r="19" spans="1:8" ht="15.75" x14ac:dyDescent="0.25">
      <c r="A19" s="10"/>
      <c r="B19" s="15"/>
      <c r="C19" s="34"/>
      <c r="D19" s="17"/>
      <c r="E19" s="13"/>
      <c r="F19" s="24">
        <f t="shared" si="0"/>
        <v>0</v>
      </c>
      <c r="H19" t="s">
        <v>75</v>
      </c>
    </row>
    <row r="20" spans="1:8" ht="15.75" x14ac:dyDescent="0.25">
      <c r="A20" s="10"/>
      <c r="B20" s="15"/>
      <c r="D20" s="17"/>
      <c r="E20" s="13"/>
      <c r="F20" s="24">
        <f t="shared" si="0"/>
        <v>0</v>
      </c>
      <c r="H20" t="s">
        <v>76</v>
      </c>
    </row>
    <row r="21" spans="1:8" ht="15.75" x14ac:dyDescent="0.25">
      <c r="A21" s="10"/>
      <c r="B21" s="15"/>
      <c r="C21" s="34"/>
      <c r="D21" s="17"/>
      <c r="E21" s="13"/>
      <c r="F21" s="24">
        <f t="shared" si="0"/>
        <v>0</v>
      </c>
      <c r="H21" t="s">
        <v>77</v>
      </c>
    </row>
    <row r="22" spans="1:8" ht="15.75" x14ac:dyDescent="0.25">
      <c r="A22" s="10"/>
      <c r="B22" s="15"/>
      <c r="C22" s="34"/>
      <c r="D22" s="17"/>
      <c r="E22" s="13"/>
      <c r="F22" s="24">
        <f t="shared" si="0"/>
        <v>0</v>
      </c>
      <c r="H22" t="s">
        <v>79</v>
      </c>
    </row>
    <row r="23" spans="1:8" ht="15.75" x14ac:dyDescent="0.25">
      <c r="A23" s="10"/>
      <c r="B23" s="11"/>
      <c r="C23" s="12"/>
      <c r="D23" s="17"/>
      <c r="E23" s="13"/>
      <c r="F23" s="24">
        <f t="shared" si="0"/>
        <v>0</v>
      </c>
      <c r="H23" t="s">
        <v>80</v>
      </c>
    </row>
    <row r="24" spans="1:8" ht="15.75" x14ac:dyDescent="0.25">
      <c r="A24" s="10"/>
      <c r="B24" s="15"/>
      <c r="C24" s="34"/>
      <c r="D24" s="17"/>
      <c r="E24" s="13"/>
      <c r="F24" s="24">
        <f t="shared" si="0"/>
        <v>0</v>
      </c>
      <c r="H24" t="s">
        <v>81</v>
      </c>
    </row>
    <row r="25" spans="1:8" ht="15.75" x14ac:dyDescent="0.25">
      <c r="A25" s="10"/>
      <c r="B25" s="15"/>
      <c r="C25" s="34"/>
      <c r="D25" s="17"/>
      <c r="E25" s="13"/>
      <c r="F25" s="24">
        <f t="shared" si="0"/>
        <v>0</v>
      </c>
      <c r="H25" t="s">
        <v>82</v>
      </c>
    </row>
    <row r="26" spans="1:8" ht="15.75" x14ac:dyDescent="0.25">
      <c r="A26" s="10"/>
      <c r="B26" s="15"/>
      <c r="C26" s="34"/>
      <c r="D26" s="17"/>
      <c r="E26" s="13"/>
      <c r="F26" s="24">
        <f t="shared" si="0"/>
        <v>0</v>
      </c>
      <c r="H26" t="s">
        <v>83</v>
      </c>
    </row>
    <row r="27" spans="1:8" ht="15.75" x14ac:dyDescent="0.25">
      <c r="A27" s="10"/>
      <c r="B27" s="11"/>
      <c r="C27" s="12"/>
      <c r="D27" s="17"/>
      <c r="E27" s="13"/>
      <c r="F27" s="24">
        <f t="shared" si="0"/>
        <v>0</v>
      </c>
      <c r="H27" t="s">
        <v>95</v>
      </c>
    </row>
    <row r="28" spans="1:8" ht="15.75" x14ac:dyDescent="0.25">
      <c r="A28" s="10"/>
      <c r="B28" s="15"/>
      <c r="C28" s="16"/>
      <c r="D28" s="17"/>
      <c r="E28" s="13"/>
      <c r="F28" s="14"/>
      <c r="H28" t="s">
        <v>96</v>
      </c>
    </row>
    <row r="29" spans="1:8" ht="2.25" customHeight="1" x14ac:dyDescent="0.25">
      <c r="C29" s="20"/>
      <c r="D29" s="21"/>
      <c r="E29" s="21"/>
      <c r="F29" s="21"/>
    </row>
    <row r="30" spans="1:8" ht="16.5" thickBot="1" x14ac:dyDescent="0.3">
      <c r="C30" s="20"/>
      <c r="D30" s="22">
        <f>SUM(D5:D29)</f>
        <v>2730</v>
      </c>
      <c r="E30" s="22">
        <f>SUM(E5:E29)</f>
        <v>2730</v>
      </c>
      <c r="F30" s="23">
        <f>F5+D30-E30</f>
        <v>0</v>
      </c>
    </row>
    <row r="31" spans="1:8" ht="15.75" thickTop="1" x14ac:dyDescent="0.25"/>
    <row r="35" spans="1:5" x14ac:dyDescent="0.25">
      <c r="A35" s="27"/>
      <c r="B35" s="26" t="s">
        <v>116</v>
      </c>
      <c r="C35" s="26"/>
      <c r="D35" s="25" t="s">
        <v>117</v>
      </c>
      <c r="E35" s="25"/>
    </row>
  </sheetData>
  <mergeCells count="2">
    <mergeCell ref="A1:F1"/>
    <mergeCell ref="A2:F2"/>
  </mergeCells>
  <pageMargins left="0.7" right="0.7" top="0.75" bottom="0.35416666666666669" header="0.3" footer="0.3"/>
  <pageSetup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"/>
  <sheetViews>
    <sheetView workbookViewId="0">
      <selection activeCell="D8" sqref="D8"/>
    </sheetView>
  </sheetViews>
  <sheetFormatPr defaultRowHeight="15" x14ac:dyDescent="0.25"/>
  <cols>
    <col min="1" max="1" width="9.28515625" customWidth="1"/>
    <col min="2" max="2" width="48.85546875" customWidth="1"/>
    <col min="3" max="3" width="33.42578125" bestFit="1" customWidth="1"/>
    <col min="4" max="6" width="17.28515625" customWidth="1"/>
    <col min="7" max="7" width="1.7109375" customWidth="1"/>
    <col min="8" max="8" width="19.7109375" bestFit="1" customWidth="1"/>
  </cols>
  <sheetData>
    <row r="1" spans="1:8" ht="35.25" x14ac:dyDescent="0.5">
      <c r="A1" s="37" t="s">
        <v>3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58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46235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  <c r="H5" t="s">
        <v>55</v>
      </c>
    </row>
    <row r="6" spans="1:8" ht="15.75" x14ac:dyDescent="0.25">
      <c r="A6" s="5">
        <v>46237</v>
      </c>
      <c r="B6" s="15" t="s">
        <v>110</v>
      </c>
      <c r="C6" s="16" t="s">
        <v>39</v>
      </c>
      <c r="D6" s="17">
        <v>0</v>
      </c>
      <c r="E6" s="13"/>
      <c r="F6" s="24">
        <f t="shared" ref="F6:F7" si="0">F5-D6+E6</f>
        <v>0</v>
      </c>
      <c r="H6" t="s">
        <v>41</v>
      </c>
    </row>
    <row r="7" spans="1:8" ht="15.75" x14ac:dyDescent="0.25">
      <c r="A7" s="5">
        <v>46237</v>
      </c>
      <c r="B7" s="15" t="s">
        <v>112</v>
      </c>
      <c r="C7" s="16" t="s">
        <v>111</v>
      </c>
      <c r="D7" s="17">
        <v>0</v>
      </c>
      <c r="E7" s="13"/>
      <c r="F7" s="24">
        <f t="shared" si="0"/>
        <v>0</v>
      </c>
      <c r="H7" t="s">
        <v>40</v>
      </c>
    </row>
    <row r="8" spans="1:8" ht="15.75" x14ac:dyDescent="0.25">
      <c r="A8" s="5"/>
      <c r="B8" s="15"/>
      <c r="C8" s="16"/>
      <c r="D8" s="17"/>
      <c r="E8" s="13"/>
      <c r="F8" s="24"/>
      <c r="H8" t="s">
        <v>39</v>
      </c>
    </row>
    <row r="9" spans="1:8" ht="15.75" x14ac:dyDescent="0.25">
      <c r="A9" s="5"/>
      <c r="B9" s="15"/>
      <c r="C9" s="16"/>
      <c r="D9" s="17"/>
      <c r="E9" s="13"/>
      <c r="F9" s="24"/>
      <c r="H9" t="s">
        <v>111</v>
      </c>
    </row>
    <row r="10" spans="1:8" ht="15.75" x14ac:dyDescent="0.25">
      <c r="A10" s="5"/>
      <c r="B10" s="15"/>
      <c r="C10" s="16"/>
      <c r="D10" s="17"/>
      <c r="E10" s="13"/>
      <c r="F10" s="24"/>
      <c r="H10" t="s">
        <v>32</v>
      </c>
    </row>
    <row r="11" spans="1:8" ht="15.75" x14ac:dyDescent="0.25">
      <c r="A11" s="5"/>
      <c r="B11" s="15"/>
      <c r="C11" s="16"/>
      <c r="D11" s="17"/>
      <c r="E11" s="13"/>
      <c r="F11" s="24"/>
      <c r="H11" t="s">
        <v>52</v>
      </c>
    </row>
    <row r="12" spans="1:8" ht="15.75" x14ac:dyDescent="0.25">
      <c r="A12" s="5"/>
      <c r="B12" s="15"/>
      <c r="C12" s="16"/>
      <c r="D12" s="17"/>
      <c r="E12" s="13"/>
      <c r="F12" s="14"/>
      <c r="H12" t="s">
        <v>53</v>
      </c>
    </row>
    <row r="13" spans="1:8" ht="15.75" x14ac:dyDescent="0.25">
      <c r="A13" s="10"/>
      <c r="B13" s="15"/>
      <c r="C13" s="16"/>
      <c r="D13" s="17"/>
      <c r="E13" s="13"/>
      <c r="F13" s="14"/>
    </row>
    <row r="14" spans="1:8" ht="15.75" x14ac:dyDescent="0.25">
      <c r="A14" s="10"/>
      <c r="B14" s="15"/>
      <c r="C14" s="16"/>
      <c r="D14" s="17"/>
      <c r="E14" s="13"/>
      <c r="F14" s="14"/>
    </row>
    <row r="15" spans="1:8" ht="15.75" x14ac:dyDescent="0.25">
      <c r="A15" s="10"/>
      <c r="B15" s="15"/>
      <c r="C15" s="16"/>
      <c r="D15" s="17"/>
      <c r="E15" s="13"/>
      <c r="F15" s="14"/>
    </row>
    <row r="16" spans="1:8" ht="15.75" x14ac:dyDescent="0.25">
      <c r="A16" s="10"/>
      <c r="B16" s="15"/>
      <c r="C16" s="16"/>
      <c r="D16" s="17"/>
      <c r="E16" s="13"/>
      <c r="F16" s="14"/>
    </row>
    <row r="17" spans="1:6" ht="15.75" x14ac:dyDescent="0.25">
      <c r="A17" s="10"/>
      <c r="B17" s="15"/>
      <c r="C17" s="16"/>
      <c r="D17" s="17"/>
      <c r="E17" s="13"/>
      <c r="F17" s="14"/>
    </row>
    <row r="18" spans="1:6" ht="15.75" x14ac:dyDescent="0.25">
      <c r="A18" s="10"/>
      <c r="B18" s="15"/>
      <c r="C18" s="16"/>
      <c r="D18" s="17"/>
      <c r="E18" s="13"/>
      <c r="F18" s="14"/>
    </row>
    <row r="19" spans="1:6" ht="15.75" x14ac:dyDescent="0.25">
      <c r="A19" s="10"/>
      <c r="B19" s="15"/>
      <c r="C19" s="16"/>
      <c r="D19" s="17"/>
      <c r="E19" s="13"/>
      <c r="F19" s="14"/>
    </row>
    <row r="20" spans="1:6" ht="15.75" x14ac:dyDescent="0.25">
      <c r="A20" s="10"/>
      <c r="B20" s="15"/>
      <c r="C20" s="16"/>
      <c r="D20" s="17"/>
      <c r="E20" s="13"/>
      <c r="F20" s="14"/>
    </row>
    <row r="21" spans="1:6" ht="15.75" x14ac:dyDescent="0.25">
      <c r="A21" s="10"/>
      <c r="B21" s="15"/>
      <c r="C21" s="16"/>
      <c r="D21" s="17"/>
      <c r="E21" s="13"/>
      <c r="F21" s="14"/>
    </row>
    <row r="22" spans="1:6" ht="15.75" x14ac:dyDescent="0.25">
      <c r="A22" s="10"/>
      <c r="B22" s="15"/>
      <c r="C22" s="16"/>
      <c r="D22" s="17"/>
      <c r="E22" s="13"/>
      <c r="F22" s="14"/>
    </row>
    <row r="23" spans="1:6" ht="15.75" x14ac:dyDescent="0.25">
      <c r="A23" s="10"/>
      <c r="B23" s="15"/>
      <c r="C23" s="16"/>
      <c r="D23" s="17"/>
      <c r="E23" s="13"/>
      <c r="F23" s="14"/>
    </row>
    <row r="24" spans="1:6" ht="15.75" x14ac:dyDescent="0.25">
      <c r="A24" s="10"/>
      <c r="B24" s="15"/>
      <c r="C24" s="16"/>
      <c r="D24" s="17"/>
      <c r="E24" s="13"/>
      <c r="F24" s="14"/>
    </row>
    <row r="25" spans="1:6" ht="15.75" x14ac:dyDescent="0.25">
      <c r="A25" s="10"/>
      <c r="B25" s="15"/>
      <c r="C25" s="16"/>
      <c r="D25" s="17"/>
      <c r="E25" s="13"/>
      <c r="F25" s="14"/>
    </row>
    <row r="26" spans="1:6" ht="15.75" x14ac:dyDescent="0.25">
      <c r="A26" s="10"/>
      <c r="B26" s="15"/>
      <c r="C26" s="16"/>
      <c r="D26" s="17"/>
      <c r="E26" s="13"/>
      <c r="F26" s="14"/>
    </row>
    <row r="27" spans="1:6" ht="15.75" x14ac:dyDescent="0.25">
      <c r="A27" s="10"/>
      <c r="B27" s="15"/>
      <c r="C27" s="16"/>
      <c r="D27" s="17"/>
      <c r="E27" s="13"/>
      <c r="F27" s="14"/>
    </row>
    <row r="28" spans="1:6" ht="15.75" x14ac:dyDescent="0.25">
      <c r="A28" s="10"/>
      <c r="B28" s="15"/>
      <c r="C28" s="16"/>
      <c r="D28" s="17"/>
      <c r="E28" s="13"/>
      <c r="F28" s="14"/>
    </row>
    <row r="29" spans="1:6" ht="15.75" x14ac:dyDescent="0.25">
      <c r="A29" s="10"/>
      <c r="B29" s="15"/>
      <c r="C29" s="16"/>
      <c r="D29" s="17"/>
      <c r="E29" s="13"/>
      <c r="F29" s="14"/>
    </row>
    <row r="30" spans="1:6" ht="15.75" x14ac:dyDescent="0.25">
      <c r="A30" s="10"/>
      <c r="B30" s="15"/>
      <c r="C30" s="16"/>
      <c r="D30" s="17"/>
      <c r="E30" s="13"/>
      <c r="F30" s="14"/>
    </row>
    <row r="31" spans="1:6" ht="15.75" x14ac:dyDescent="0.25">
      <c r="A31" s="5"/>
      <c r="B31" s="18"/>
      <c r="C31" s="19"/>
      <c r="D31" s="14"/>
      <c r="E31" s="8"/>
      <c r="F31" s="14"/>
    </row>
    <row r="32" spans="1:6" ht="15.75" x14ac:dyDescent="0.25">
      <c r="A32" s="5"/>
      <c r="B32" s="18"/>
      <c r="C32" s="19"/>
      <c r="D32" s="14"/>
      <c r="E32" s="8"/>
      <c r="F32" s="14"/>
    </row>
    <row r="33" spans="3:6" ht="15.75" x14ac:dyDescent="0.25">
      <c r="C33" s="20"/>
      <c r="D33" s="21"/>
      <c r="E33" s="21"/>
      <c r="F33" s="21"/>
    </row>
    <row r="34" spans="3:6" ht="16.5" thickBot="1" x14ac:dyDescent="0.3">
      <c r="C34" s="20"/>
      <c r="D34" s="22">
        <f>SUM(D5:D33)</f>
        <v>0</v>
      </c>
      <c r="E34" s="22">
        <f>SUM(E5:E33)</f>
        <v>0</v>
      </c>
      <c r="F34" s="23">
        <f>F5+D34-E34</f>
        <v>0</v>
      </c>
    </row>
    <row r="35" spans="3:6" ht="15.75" thickTop="1" x14ac:dyDescent="0.25"/>
  </sheetData>
  <mergeCells count="2">
    <mergeCell ref="A1:F1"/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5"/>
  <sheetViews>
    <sheetView workbookViewId="0">
      <selection activeCell="A6" sqref="A6"/>
    </sheetView>
  </sheetViews>
  <sheetFormatPr defaultRowHeight="15" x14ac:dyDescent="0.25"/>
  <cols>
    <col min="1" max="1" width="9.28515625" customWidth="1"/>
    <col min="2" max="2" width="39" customWidth="1"/>
    <col min="3" max="3" width="18.42578125" customWidth="1"/>
    <col min="4" max="6" width="17.28515625" customWidth="1"/>
    <col min="7" max="7" width="1.7109375" customWidth="1"/>
    <col min="8" max="8" width="19.7109375" bestFit="1" customWidth="1"/>
  </cols>
  <sheetData>
    <row r="1" spans="1:8" ht="35.25" x14ac:dyDescent="0.5">
      <c r="A1" s="37" t="s">
        <v>3</v>
      </c>
      <c r="B1" s="37"/>
      <c r="C1" s="37"/>
      <c r="D1" s="37"/>
      <c r="E1" s="37"/>
      <c r="F1" s="37"/>
      <c r="G1" s="1"/>
      <c r="H1" s="1"/>
    </row>
    <row r="2" spans="1:8" ht="16.5" x14ac:dyDescent="0.3">
      <c r="A2" s="38" t="s">
        <v>59</v>
      </c>
      <c r="B2" s="38"/>
      <c r="C2" s="38"/>
      <c r="D2" s="38"/>
      <c r="E2" s="38"/>
      <c r="F2" s="38"/>
      <c r="G2" s="1"/>
      <c r="H2" s="1"/>
    </row>
    <row r="3" spans="1:8" ht="9" customHeight="1" x14ac:dyDescent="0.3">
      <c r="A3" s="2"/>
      <c r="B3" s="2"/>
      <c r="C3" s="2"/>
      <c r="D3" s="2"/>
      <c r="E3" s="2"/>
      <c r="F3" s="2"/>
      <c r="G3" s="1"/>
      <c r="H3" s="1"/>
    </row>
    <row r="4" spans="1:8" ht="17.25" thickBot="1" x14ac:dyDescent="0.35">
      <c r="A4" s="3" t="s">
        <v>4</v>
      </c>
      <c r="B4" s="3" t="s">
        <v>5</v>
      </c>
      <c r="C4" s="3" t="s">
        <v>6</v>
      </c>
      <c r="D4" s="3" t="s">
        <v>50</v>
      </c>
      <c r="E4" s="4" t="s">
        <v>51</v>
      </c>
      <c r="F4" s="4" t="s">
        <v>1</v>
      </c>
      <c r="G4" s="1"/>
      <c r="H4" s="1"/>
    </row>
    <row r="5" spans="1:8" ht="15.75" x14ac:dyDescent="0.25">
      <c r="A5" s="5">
        <v>46235</v>
      </c>
      <c r="B5" s="6" t="s">
        <v>7</v>
      </c>
      <c r="C5" s="7" t="s">
        <v>8</v>
      </c>
      <c r="D5" s="8">
        <v>0</v>
      </c>
      <c r="E5" s="8">
        <v>0</v>
      </c>
      <c r="F5" s="9">
        <v>0</v>
      </c>
      <c r="H5" t="s">
        <v>55</v>
      </c>
    </row>
    <row r="6" spans="1:8" ht="15.75" x14ac:dyDescent="0.25">
      <c r="A6" s="5"/>
      <c r="B6" s="15"/>
      <c r="C6" s="16"/>
      <c r="D6" s="17"/>
      <c r="E6" s="13"/>
      <c r="F6" s="24">
        <f>F5-D6+E6</f>
        <v>0</v>
      </c>
      <c r="H6" t="s">
        <v>32</v>
      </c>
    </row>
    <row r="7" spans="1:8" ht="15.75" x14ac:dyDescent="0.25">
      <c r="A7" s="5"/>
      <c r="B7" s="15"/>
      <c r="C7" s="16"/>
      <c r="D7" s="17"/>
      <c r="E7" s="13"/>
      <c r="F7" s="24">
        <f>F6-D7+E7</f>
        <v>0</v>
      </c>
      <c r="H7" t="s">
        <v>52</v>
      </c>
    </row>
    <row r="8" spans="1:8" ht="15.75" x14ac:dyDescent="0.25">
      <c r="A8" s="5"/>
      <c r="B8" s="15"/>
      <c r="C8" s="16"/>
      <c r="D8" s="17"/>
      <c r="E8" s="13"/>
      <c r="F8" s="24"/>
      <c r="H8" t="s">
        <v>53</v>
      </c>
    </row>
    <row r="9" spans="1:8" ht="15.75" x14ac:dyDescent="0.25">
      <c r="A9" s="5"/>
      <c r="B9" s="11"/>
      <c r="C9" s="12"/>
      <c r="D9" s="17"/>
      <c r="E9" s="13"/>
      <c r="F9" s="24"/>
    </row>
    <row r="10" spans="1:8" ht="15.75" x14ac:dyDescent="0.25">
      <c r="A10" s="10"/>
      <c r="B10" s="15"/>
      <c r="C10" s="16"/>
      <c r="D10" s="17"/>
      <c r="E10" s="13"/>
      <c r="F10" s="14"/>
    </row>
    <row r="11" spans="1:8" ht="15.75" x14ac:dyDescent="0.25">
      <c r="A11" s="10"/>
      <c r="B11" s="15"/>
      <c r="C11" s="16"/>
      <c r="D11" s="17"/>
      <c r="E11" s="13"/>
      <c r="F11" s="14"/>
    </row>
    <row r="12" spans="1:8" ht="15.75" x14ac:dyDescent="0.25">
      <c r="A12" s="10"/>
      <c r="B12" s="15"/>
      <c r="C12" s="16"/>
      <c r="D12" s="17"/>
      <c r="E12" s="13"/>
      <c r="F12" s="14"/>
    </row>
    <row r="13" spans="1:8" ht="15.75" x14ac:dyDescent="0.25">
      <c r="A13" s="10"/>
      <c r="B13" s="15"/>
      <c r="C13" s="16"/>
      <c r="D13" s="17"/>
      <c r="E13" s="13"/>
      <c r="F13" s="14"/>
    </row>
    <row r="14" spans="1:8" ht="15.75" x14ac:dyDescent="0.25">
      <c r="A14" s="10"/>
      <c r="B14" s="15"/>
      <c r="C14" s="16"/>
      <c r="D14" s="17"/>
      <c r="E14" s="13"/>
      <c r="F14" s="14"/>
    </row>
    <row r="15" spans="1:8" ht="15.75" x14ac:dyDescent="0.25">
      <c r="A15" s="10"/>
      <c r="B15" s="15"/>
      <c r="C15" s="16"/>
      <c r="D15" s="17"/>
      <c r="E15" s="13"/>
      <c r="F15" s="14"/>
    </row>
    <row r="16" spans="1:8" ht="15.75" x14ac:dyDescent="0.25">
      <c r="A16" s="10"/>
      <c r="B16" s="15"/>
      <c r="C16" s="16"/>
      <c r="D16" s="17"/>
      <c r="E16" s="13"/>
      <c r="F16" s="14"/>
    </row>
    <row r="17" spans="1:6" ht="15.75" x14ac:dyDescent="0.25">
      <c r="A17" s="10"/>
      <c r="B17" s="15"/>
      <c r="C17" s="16"/>
      <c r="D17" s="17"/>
      <c r="E17" s="13"/>
      <c r="F17" s="14"/>
    </row>
    <row r="18" spans="1:6" ht="15.75" x14ac:dyDescent="0.25">
      <c r="A18" s="10"/>
      <c r="B18" s="15"/>
      <c r="C18" s="16"/>
      <c r="D18" s="17"/>
      <c r="E18" s="13"/>
      <c r="F18" s="14"/>
    </row>
    <row r="19" spans="1:6" ht="15.75" x14ac:dyDescent="0.25">
      <c r="A19" s="10"/>
      <c r="B19" s="15"/>
      <c r="C19" s="16"/>
      <c r="D19" s="17"/>
      <c r="E19" s="13"/>
      <c r="F19" s="14"/>
    </row>
    <row r="20" spans="1:6" ht="15.75" x14ac:dyDescent="0.25">
      <c r="A20" s="10"/>
      <c r="B20" s="15"/>
      <c r="C20" s="16"/>
      <c r="D20" s="17"/>
      <c r="E20" s="13"/>
      <c r="F20" s="14"/>
    </row>
    <row r="21" spans="1:6" ht="15.75" x14ac:dyDescent="0.25">
      <c r="A21" s="10"/>
      <c r="B21" s="15"/>
      <c r="C21" s="16"/>
      <c r="D21" s="17"/>
      <c r="E21" s="13"/>
      <c r="F21" s="14"/>
    </row>
    <row r="22" spans="1:6" ht="15.75" x14ac:dyDescent="0.25">
      <c r="A22" s="10"/>
      <c r="B22" s="15"/>
      <c r="C22" s="16"/>
      <c r="D22" s="17"/>
      <c r="E22" s="13"/>
      <c r="F22" s="14"/>
    </row>
    <row r="23" spans="1:6" ht="15.75" x14ac:dyDescent="0.25">
      <c r="A23" s="10"/>
      <c r="B23" s="15"/>
      <c r="C23" s="16"/>
      <c r="D23" s="17"/>
      <c r="E23" s="13"/>
      <c r="F23" s="14"/>
    </row>
    <row r="24" spans="1:6" ht="15.75" x14ac:dyDescent="0.25">
      <c r="A24" s="10"/>
      <c r="B24" s="15"/>
      <c r="C24" s="16"/>
      <c r="D24" s="17"/>
      <c r="E24" s="13"/>
      <c r="F24" s="14"/>
    </row>
    <row r="25" spans="1:6" ht="15.75" x14ac:dyDescent="0.25">
      <c r="A25" s="10"/>
      <c r="B25" s="15"/>
      <c r="C25" s="16"/>
      <c r="D25" s="17"/>
      <c r="E25" s="13"/>
      <c r="F25" s="14"/>
    </row>
    <row r="26" spans="1:6" ht="15.75" x14ac:dyDescent="0.25">
      <c r="A26" s="10"/>
      <c r="B26" s="15"/>
      <c r="C26" s="16"/>
      <c r="D26" s="17"/>
      <c r="E26" s="13"/>
      <c r="F26" s="14"/>
    </row>
    <row r="27" spans="1:6" ht="15.75" x14ac:dyDescent="0.25">
      <c r="A27" s="10"/>
      <c r="B27" s="15"/>
      <c r="C27" s="16"/>
      <c r="D27" s="17"/>
      <c r="E27" s="13"/>
      <c r="F27" s="14"/>
    </row>
    <row r="28" spans="1:6" ht="15.75" x14ac:dyDescent="0.25">
      <c r="A28" s="10"/>
      <c r="B28" s="15"/>
      <c r="C28" s="16"/>
      <c r="D28" s="17"/>
      <c r="E28" s="13"/>
      <c r="F28" s="14"/>
    </row>
    <row r="29" spans="1:6" ht="15.75" x14ac:dyDescent="0.25">
      <c r="A29" s="10"/>
      <c r="B29" s="15"/>
      <c r="C29" s="16"/>
      <c r="D29" s="17"/>
      <c r="E29" s="13"/>
      <c r="F29" s="14"/>
    </row>
    <row r="30" spans="1:6" ht="15.75" x14ac:dyDescent="0.25">
      <c r="A30" s="10"/>
      <c r="B30" s="15"/>
      <c r="C30" s="16"/>
      <c r="D30" s="17"/>
      <c r="E30" s="13"/>
      <c r="F30" s="14"/>
    </row>
    <row r="31" spans="1:6" ht="15.75" x14ac:dyDescent="0.25">
      <c r="A31" s="5"/>
      <c r="B31" s="18"/>
      <c r="C31" s="19"/>
      <c r="D31" s="14"/>
      <c r="E31" s="8"/>
      <c r="F31" s="14"/>
    </row>
    <row r="32" spans="1:6" ht="15.75" x14ac:dyDescent="0.25">
      <c r="A32" s="5"/>
      <c r="B32" s="18"/>
      <c r="C32" s="19"/>
      <c r="D32" s="14"/>
      <c r="E32" s="8"/>
      <c r="F32" s="14"/>
    </row>
    <row r="33" spans="3:6" ht="15.75" x14ac:dyDescent="0.25">
      <c r="C33" s="20"/>
      <c r="D33" s="21"/>
      <c r="E33" s="21"/>
      <c r="F33" s="21"/>
    </row>
    <row r="34" spans="3:6" ht="16.5" thickBot="1" x14ac:dyDescent="0.3">
      <c r="C34" s="20"/>
      <c r="D34" s="22">
        <f>SUM(D5:D33)</f>
        <v>0</v>
      </c>
      <c r="E34" s="22">
        <f>SUM(E5:E33)</f>
        <v>0</v>
      </c>
      <c r="F34" s="23">
        <f>F5+D34-E34</f>
        <v>0</v>
      </c>
    </row>
    <row r="35" spans="3:6" ht="15.75" thickTop="1" x14ac:dyDescent="0.25"/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</vt:lpstr>
      <vt:lpstr>COY Expense</vt:lpstr>
      <vt:lpstr>BMC Director Expense</vt:lpstr>
      <vt:lpstr>BMC Bidding</vt:lpstr>
      <vt:lpstr>YMC Director Expense</vt:lpstr>
      <vt:lpstr>YMC Bidding</vt:lpstr>
      <vt:lpstr>C-21 DHA Margala</vt:lpstr>
      <vt:lpstr>C-21 (A) DHA Margala</vt:lpstr>
      <vt:lpstr>7-Orbit IT</vt:lpstr>
      <vt:lpstr>7-Orbit MB</vt:lpstr>
      <vt:lpstr>'C-21 (A) DHA Margala'!Print_Area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Computer</dc:creator>
  <cp:lastModifiedBy>Fast Computer</cp:lastModifiedBy>
  <dcterms:created xsi:type="dcterms:W3CDTF">2015-06-05T18:17:20Z</dcterms:created>
  <dcterms:modified xsi:type="dcterms:W3CDTF">2026-08-17T08:47:49Z</dcterms:modified>
</cp:coreProperties>
</file>